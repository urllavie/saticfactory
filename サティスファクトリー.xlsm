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rl_l\Documents\GitHub\saticfactory\"/>
    </mc:Choice>
  </mc:AlternateContent>
  <xr:revisionPtr revIDLastSave="0" documentId="13_ncr:1_{51CC4109-A981-48C4-B54B-FAFAF89679B6}" xr6:coauthVersionLast="45" xr6:coauthVersionMax="45" xr10:uidLastSave="{00000000-0000-0000-0000-000000000000}"/>
  <bookViews>
    <workbookView xWindow="-120" yWindow="-120" windowWidth="29040" windowHeight="15840" activeTab="1" xr2:uid="{00000000-000D-0000-FFFF-FFFF00000000}"/>
  </bookViews>
  <sheets>
    <sheet name="材料費" sheetId="2" r:id="rId1"/>
    <sheet name="レシピ" sheetId="4" r:id="rId2"/>
    <sheet name="レシピ２" sheetId="10" r:id="rId3"/>
    <sheet name="設計図" sheetId="11" r:id="rId4"/>
    <sheet name="建造物マスタ" sheetId="12" r:id="rId5"/>
    <sheet name="建造物" sheetId="13" r:id="rId6"/>
    <sheet name="ライン" sheetId="14" r:id="rId7"/>
  </sheets>
  <functionGroups builtInGroupCount="19"/>
  <calcPr calcId="181029"/>
</workbook>
</file>

<file path=xl/calcChain.xml><?xml version="1.0" encoding="utf-8"?>
<calcChain xmlns="http://schemas.openxmlformats.org/spreadsheetml/2006/main">
  <c r="U3" i="4" l="1"/>
  <c r="U4" i="4"/>
  <c r="U5" i="4"/>
  <c r="U6" i="4"/>
  <c r="U7" i="4"/>
  <c r="U8" i="4"/>
  <c r="U9" i="4"/>
  <c r="U10" i="4"/>
  <c r="U11" i="4"/>
  <c r="U12" i="4"/>
  <c r="U13" i="4"/>
  <c r="U14" i="4"/>
  <c r="U15" i="4"/>
  <c r="U16" i="4"/>
  <c r="U17" i="4"/>
  <c r="U18" i="4"/>
  <c r="U19" i="4"/>
  <c r="U20" i="4"/>
  <c r="U21" i="4"/>
  <c r="U22" i="4"/>
  <c r="U23" i="4"/>
  <c r="U24" i="4"/>
  <c r="U25" i="4"/>
  <c r="U26" i="4"/>
  <c r="U27" i="4"/>
  <c r="U28" i="4"/>
  <c r="U29" i="4"/>
  <c r="U30" i="4"/>
  <c r="U31" i="4"/>
  <c r="U32" i="4"/>
  <c r="U33" i="4"/>
  <c r="U34" i="4"/>
  <c r="U35" i="4"/>
  <c r="U2" i="4"/>
  <c r="Q3" i="4"/>
  <c r="Q4" i="4"/>
  <c r="Q5" i="4"/>
  <c r="Q6" i="4"/>
  <c r="Q7" i="4"/>
  <c r="Q8" i="4"/>
  <c r="Q9" i="4"/>
  <c r="Q10" i="4"/>
  <c r="Q11" i="4"/>
  <c r="Q12" i="4"/>
  <c r="Q13" i="4"/>
  <c r="Q14" i="4"/>
  <c r="Q15" i="4"/>
  <c r="Q16" i="4"/>
  <c r="Q17" i="4"/>
  <c r="Q18" i="4"/>
  <c r="Q19" i="4"/>
  <c r="Q20" i="4"/>
  <c r="Q21" i="4"/>
  <c r="Q22" i="4"/>
  <c r="Q23" i="4"/>
  <c r="Q24" i="4"/>
  <c r="Q25" i="4"/>
  <c r="Q26" i="4"/>
  <c r="Q27" i="4"/>
  <c r="Q28" i="4"/>
  <c r="Q29" i="4"/>
  <c r="Q30" i="4"/>
  <c r="Q31" i="4"/>
  <c r="Q32" i="4"/>
  <c r="Q33" i="4"/>
  <c r="Q34" i="4"/>
  <c r="Q35" i="4"/>
  <c r="Q2" i="4"/>
  <c r="M3" i="4"/>
  <c r="M4" i="4"/>
  <c r="M5" i="4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2" i="4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2" i="4"/>
  <c r="W35" i="4" l="1"/>
  <c r="S35" i="4"/>
  <c r="O35" i="4"/>
  <c r="K35" i="4"/>
  <c r="F35" i="4"/>
  <c r="S34" i="4"/>
  <c r="O34" i="4"/>
  <c r="K34" i="4"/>
  <c r="F34" i="4"/>
  <c r="W33" i="4"/>
  <c r="S33" i="4"/>
  <c r="K33" i="4"/>
  <c r="F33" i="4"/>
  <c r="O33" i="4"/>
  <c r="F32" i="4"/>
  <c r="K32" i="4"/>
  <c r="O32" i="4"/>
  <c r="F31" i="4"/>
  <c r="O30" i="4"/>
  <c r="O31" i="4"/>
  <c r="K30" i="4"/>
  <c r="K31" i="4"/>
  <c r="F30" i="4"/>
  <c r="O29" i="4"/>
  <c r="K29" i="4"/>
  <c r="F29" i="4"/>
  <c r="S28" i="4"/>
  <c r="W28" i="4"/>
  <c r="O23" i="4"/>
  <c r="O24" i="4"/>
  <c r="O25" i="4"/>
  <c r="O26" i="4"/>
  <c r="O27" i="4"/>
  <c r="O28" i="4"/>
  <c r="K23" i="4"/>
  <c r="K24" i="4"/>
  <c r="K25" i="4"/>
  <c r="K26" i="4"/>
  <c r="K27" i="4"/>
  <c r="K28" i="4"/>
  <c r="F28" i="4"/>
  <c r="E7" i="14" l="1"/>
  <c r="E9" i="14"/>
  <c r="E11" i="14"/>
  <c r="E13" i="14"/>
  <c r="E15" i="14"/>
  <c r="E19" i="14"/>
  <c r="E23" i="14"/>
  <c r="E25" i="14"/>
  <c r="E27" i="14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C34" i="13"/>
  <c r="D12" i="14" s="1"/>
  <c r="C8" i="13"/>
  <c r="D8" i="14" s="1"/>
  <c r="C9" i="13"/>
  <c r="E8" i="14" s="1"/>
  <c r="C10" i="13"/>
  <c r="C11" i="13"/>
  <c r="E10" i="14" s="1"/>
  <c r="C12" i="13"/>
  <c r="E16" i="14" s="1"/>
  <c r="C13" i="13"/>
  <c r="D18" i="14" s="1"/>
  <c r="C14" i="13"/>
  <c r="E18" i="14" s="1"/>
  <c r="C15" i="13"/>
  <c r="D25" i="14" s="1"/>
  <c r="C16" i="13"/>
  <c r="E20" i="14" s="1"/>
  <c r="C17" i="13"/>
  <c r="D22" i="14" s="1"/>
  <c r="C18" i="13"/>
  <c r="D24" i="14" s="1"/>
  <c r="C19" i="13"/>
  <c r="C20" i="13"/>
  <c r="D26" i="14" s="1"/>
  <c r="C21" i="13"/>
  <c r="E12" i="14" s="1"/>
  <c r="C22" i="13"/>
  <c r="D14" i="14" s="1"/>
  <c r="C23" i="13"/>
  <c r="E28" i="14" s="1"/>
  <c r="C24" i="13"/>
  <c r="E14" i="14" s="1"/>
  <c r="C25" i="13"/>
  <c r="D30" i="14" s="1"/>
  <c r="C26" i="13"/>
  <c r="E30" i="14" s="1"/>
  <c r="C27" i="13"/>
  <c r="D37" i="14" s="1"/>
  <c r="C28" i="13"/>
  <c r="E37" i="14" s="1"/>
  <c r="C29" i="13"/>
  <c r="E36" i="14" s="1"/>
  <c r="C30" i="13"/>
  <c r="D33" i="14" s="1"/>
  <c r="C31" i="13"/>
  <c r="E33" i="14" s="1"/>
  <c r="C32" i="13"/>
  <c r="E32" i="14" s="1"/>
  <c r="C33" i="13"/>
  <c r="D32" i="14" s="1"/>
  <c r="E34" i="14" l="1"/>
  <c r="E31" i="14"/>
  <c r="E17" i="14"/>
  <c r="D31" i="14"/>
  <c r="D29" i="14"/>
  <c r="D27" i="14"/>
  <c r="D23" i="14"/>
  <c r="D21" i="14"/>
  <c r="D19" i="14"/>
  <c r="D17" i="14"/>
  <c r="D15" i="14"/>
  <c r="D13" i="14"/>
  <c r="D11" i="14"/>
  <c r="D9" i="14"/>
  <c r="D36" i="14"/>
  <c r="D34" i="14"/>
  <c r="E26" i="14"/>
  <c r="E24" i="14"/>
  <c r="E22" i="14"/>
  <c r="E35" i="14"/>
  <c r="E29" i="14"/>
  <c r="E21" i="14"/>
  <c r="D28" i="14"/>
  <c r="D20" i="14"/>
  <c r="D35" i="14"/>
  <c r="E7" i="13"/>
  <c r="C7" i="13"/>
  <c r="E5" i="13"/>
  <c r="E6" i="13"/>
  <c r="C6" i="13"/>
  <c r="D6" i="14" s="1"/>
  <c r="E6" i="14" l="1"/>
  <c r="D10" i="14"/>
  <c r="D16" i="14"/>
  <c r="D7" i="14"/>
  <c r="E5" i="14"/>
  <c r="C5" i="13"/>
  <c r="D5" i="14" s="1"/>
  <c r="C4" i="13"/>
  <c r="E4" i="14" s="1"/>
  <c r="E4" i="13"/>
  <c r="E3" i="13"/>
  <c r="E2" i="13"/>
  <c r="C3" i="13"/>
  <c r="C2" i="13"/>
  <c r="D2" i="14" s="1"/>
  <c r="E3" i="14" l="1"/>
  <c r="E2" i="14"/>
  <c r="D4" i="14"/>
  <c r="D3" i="14"/>
  <c r="F23" i="4"/>
  <c r="F24" i="4"/>
  <c r="F25" i="4"/>
  <c r="F26" i="4"/>
  <c r="F27" i="4"/>
  <c r="K4" i="4" l="1"/>
  <c r="O9" i="4" l="1"/>
  <c r="O10" i="4"/>
  <c r="O17" i="4"/>
  <c r="O18" i="4"/>
  <c r="O19" i="4"/>
  <c r="O20" i="4"/>
  <c r="O21" i="4"/>
  <c r="O22" i="4"/>
  <c r="K18" i="4"/>
  <c r="K19" i="4"/>
  <c r="K20" i="4"/>
  <c r="K21" i="4"/>
  <c r="K22" i="4"/>
  <c r="K3" i="4"/>
  <c r="F18" i="4"/>
  <c r="F19" i="4"/>
  <c r="F20" i="4"/>
  <c r="F21" i="4"/>
  <c r="F22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3" i="4"/>
  <c r="F4" i="4"/>
  <c r="O8" i="4" l="1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K2" i="4"/>
  <c r="F2" i="4"/>
  <c r="Q2" i="2"/>
  <c r="R4" i="2"/>
  <c r="S4" i="2"/>
  <c r="T4" i="2"/>
  <c r="U4" i="2"/>
  <c r="V4" i="2"/>
  <c r="W4" i="2"/>
  <c r="X4" i="2"/>
  <c r="Y4" i="2"/>
  <c r="Z4" i="2"/>
  <c r="AA4" i="2"/>
  <c r="AB4" i="2"/>
  <c r="AC4" i="2"/>
  <c r="AD4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R6" i="2"/>
  <c r="S6" i="2"/>
  <c r="T6" i="2"/>
  <c r="U6" i="2"/>
  <c r="V6" i="2"/>
  <c r="W6" i="2"/>
  <c r="X6" i="2"/>
  <c r="Y6" i="2"/>
  <c r="Z6" i="2"/>
  <c r="AA6" i="2"/>
  <c r="AB6" i="2"/>
  <c r="AC6" i="2"/>
  <c r="AD6" i="2"/>
  <c r="R7" i="2"/>
  <c r="S7" i="2"/>
  <c r="T7" i="2"/>
  <c r="U7" i="2"/>
  <c r="V7" i="2"/>
  <c r="W7" i="2"/>
  <c r="X7" i="2"/>
  <c r="Y7" i="2"/>
  <c r="Z7" i="2"/>
  <c r="AA7" i="2"/>
  <c r="AB7" i="2"/>
  <c r="AC7" i="2"/>
  <c r="AD7" i="2"/>
  <c r="R8" i="2"/>
  <c r="S8" i="2"/>
  <c r="T8" i="2"/>
  <c r="U8" i="2"/>
  <c r="V8" i="2"/>
  <c r="W8" i="2"/>
  <c r="X8" i="2"/>
  <c r="Y8" i="2"/>
  <c r="Z8" i="2"/>
  <c r="AA8" i="2"/>
  <c r="AB8" i="2"/>
  <c r="AC8" i="2"/>
  <c r="AD8" i="2"/>
  <c r="R9" i="2"/>
  <c r="S9" i="2"/>
  <c r="T9" i="2"/>
  <c r="U9" i="2"/>
  <c r="V9" i="2"/>
  <c r="W9" i="2"/>
  <c r="X9" i="2"/>
  <c r="Y9" i="2"/>
  <c r="Z9" i="2"/>
  <c r="AA9" i="2"/>
  <c r="AB9" i="2"/>
  <c r="AC9" i="2"/>
  <c r="AD9" i="2"/>
  <c r="R10" i="2"/>
  <c r="S10" i="2"/>
  <c r="T10" i="2"/>
  <c r="U10" i="2"/>
  <c r="V10" i="2"/>
  <c r="W10" i="2"/>
  <c r="X10" i="2"/>
  <c r="Y10" i="2"/>
  <c r="Z10" i="2"/>
  <c r="AA10" i="2"/>
  <c r="AB10" i="2"/>
  <c r="AC10" i="2"/>
  <c r="AD10" i="2"/>
  <c r="R11" i="2"/>
  <c r="S11" i="2"/>
  <c r="T11" i="2"/>
  <c r="U11" i="2"/>
  <c r="V11" i="2"/>
  <c r="W11" i="2"/>
  <c r="X11" i="2"/>
  <c r="Y11" i="2"/>
  <c r="Z11" i="2"/>
  <c r="AA11" i="2"/>
  <c r="AB11" i="2"/>
  <c r="AC11" i="2"/>
  <c r="AD11" i="2"/>
  <c r="R12" i="2"/>
  <c r="S12" i="2"/>
  <c r="T12" i="2"/>
  <c r="U12" i="2"/>
  <c r="V12" i="2"/>
  <c r="W12" i="2"/>
  <c r="X12" i="2"/>
  <c r="Y12" i="2"/>
  <c r="Z12" i="2"/>
  <c r="AA12" i="2"/>
  <c r="AB12" i="2"/>
  <c r="AC12" i="2"/>
  <c r="AD12" i="2"/>
  <c r="R13" i="2"/>
  <c r="S13" i="2"/>
  <c r="T13" i="2"/>
  <c r="U13" i="2"/>
  <c r="V13" i="2"/>
  <c r="W13" i="2"/>
  <c r="X13" i="2"/>
  <c r="Y13" i="2"/>
  <c r="Z13" i="2"/>
  <c r="AA13" i="2"/>
  <c r="AB13" i="2"/>
  <c r="AC13" i="2"/>
  <c r="AD13" i="2"/>
  <c r="S3" i="2"/>
  <c r="S2" i="2"/>
  <c r="T3" i="2"/>
  <c r="U3" i="2"/>
  <c r="V3" i="2"/>
  <c r="W3" i="2"/>
  <c r="W2" i="2"/>
  <c r="X3" i="2"/>
  <c r="Y3" i="2"/>
  <c r="Z3" i="2"/>
  <c r="AA3" i="2"/>
  <c r="AA2" i="2"/>
  <c r="AB3" i="2"/>
  <c r="AC3" i="2"/>
  <c r="AD3" i="2"/>
  <c r="R3" i="2"/>
  <c r="R2" i="2"/>
  <c r="AD2" i="2"/>
  <c r="Z2" i="2"/>
  <c r="V2" i="2"/>
  <c r="AC2" i="2"/>
  <c r="U2" i="2"/>
  <c r="Y2" i="2"/>
  <c r="AB2" i="2"/>
  <c r="X2" i="2"/>
  <c r="T2" i="2"/>
</calcChain>
</file>

<file path=xl/sharedStrings.xml><?xml version="1.0" encoding="utf-8"?>
<sst xmlns="http://schemas.openxmlformats.org/spreadsheetml/2006/main" count="1464" uniqueCount="135">
  <si>
    <t>鉄板</t>
  </si>
  <si>
    <t>コンクリート</t>
  </si>
  <si>
    <t>鋼鉄のパイプ</t>
  </si>
  <si>
    <t>モジュラーフレーム</t>
  </si>
  <si>
    <t>精錬炉</t>
  </si>
  <si>
    <t>鉄のロッド</t>
  </si>
  <si>
    <t>鋳造炉</t>
  </si>
  <si>
    <t>採掘機２</t>
    <rPh sb="0" eb="2">
      <t>サイクツ</t>
    </rPh>
    <rPh sb="2" eb="3">
      <t>キ</t>
    </rPh>
    <phoneticPr fontId="1"/>
  </si>
  <si>
    <t>携帯式採鉱機</t>
    <rPh sb="0" eb="2">
      <t>ケイタイ</t>
    </rPh>
    <rPh sb="2" eb="3">
      <t>シキ</t>
    </rPh>
    <rPh sb="3" eb="5">
      <t>サイコウ</t>
    </rPh>
    <rPh sb="5" eb="6">
      <t>キ</t>
    </rPh>
    <phoneticPr fontId="1"/>
  </si>
  <si>
    <t>コンクリート被覆型鋼梁</t>
    <rPh sb="6" eb="8">
      <t>ヒフク</t>
    </rPh>
    <rPh sb="8" eb="9">
      <t>ガタ</t>
    </rPh>
    <rPh sb="9" eb="10">
      <t>ハガネ</t>
    </rPh>
    <rPh sb="10" eb="11">
      <t>ハリ</t>
    </rPh>
    <phoneticPr fontId="1"/>
  </si>
  <si>
    <t>鋼鉄のパイプ</t>
    <rPh sb="0" eb="2">
      <t>コウテツ</t>
    </rPh>
    <phoneticPr fontId="1"/>
  </si>
  <si>
    <t>モジュラーフレーム</t>
    <phoneticPr fontId="1"/>
  </si>
  <si>
    <t>強化鉄板</t>
    <rPh sb="0" eb="2">
      <t>キョウカ</t>
    </rPh>
    <rPh sb="2" eb="4">
      <t>テッパン</t>
    </rPh>
    <phoneticPr fontId="1"/>
  </si>
  <si>
    <t>ケーブル</t>
    <phoneticPr fontId="1"/>
  </si>
  <si>
    <t>鉄のロッド</t>
    <rPh sb="0" eb="1">
      <t>テツ</t>
    </rPh>
    <phoneticPr fontId="1"/>
  </si>
  <si>
    <t>ワイヤー</t>
    <phoneticPr fontId="1"/>
  </si>
  <si>
    <t>鋳造炉</t>
    <rPh sb="0" eb="2">
      <t>チュウゾウ</t>
    </rPh>
    <rPh sb="2" eb="3">
      <t>ロ</t>
    </rPh>
    <phoneticPr fontId="1"/>
  </si>
  <si>
    <t>製錬炉</t>
    <rPh sb="0" eb="2">
      <t>セイレン</t>
    </rPh>
    <rPh sb="2" eb="3">
      <t>ロ</t>
    </rPh>
    <phoneticPr fontId="1"/>
  </si>
  <si>
    <t>コンクリート</t>
    <phoneticPr fontId="1"/>
  </si>
  <si>
    <t>ローター</t>
    <phoneticPr fontId="1"/>
  </si>
  <si>
    <t>製作機</t>
    <rPh sb="0" eb="2">
      <t>セイサク</t>
    </rPh>
    <rPh sb="2" eb="3">
      <t>キ</t>
    </rPh>
    <phoneticPr fontId="1"/>
  </si>
  <si>
    <t>組立機</t>
    <rPh sb="0" eb="2">
      <t>クミタテ</t>
    </rPh>
    <rPh sb="2" eb="3">
      <t>キ</t>
    </rPh>
    <phoneticPr fontId="1"/>
  </si>
  <si>
    <t>揚水ポンプ</t>
    <rPh sb="0" eb="2">
      <t>ヨウスイ</t>
    </rPh>
    <phoneticPr fontId="1"/>
  </si>
  <si>
    <t>銅のシート</t>
    <rPh sb="0" eb="1">
      <t>ドウ</t>
    </rPh>
    <phoneticPr fontId="1"/>
  </si>
  <si>
    <t>石炭発電</t>
    <rPh sb="0" eb="2">
      <t>セキタン</t>
    </rPh>
    <rPh sb="2" eb="4">
      <t>ハツデン</t>
    </rPh>
    <phoneticPr fontId="1"/>
  </si>
  <si>
    <t>電柱</t>
    <rPh sb="0" eb="2">
      <t>デンチュウ</t>
    </rPh>
    <phoneticPr fontId="1"/>
  </si>
  <si>
    <t>電線</t>
    <rPh sb="0" eb="2">
      <t>デンセン</t>
    </rPh>
    <phoneticPr fontId="1"/>
  </si>
  <si>
    <t>貯蔵コンテナ</t>
    <rPh sb="0" eb="2">
      <t>チョゾウ</t>
    </rPh>
    <phoneticPr fontId="1"/>
  </si>
  <si>
    <t>鉄板</t>
    <rPh sb="0" eb="2">
      <t>テッパン</t>
    </rPh>
    <phoneticPr fontId="1"/>
  </si>
  <si>
    <t>工業用貯蔵コンテナ</t>
    <rPh sb="0" eb="3">
      <t>コウギョウヨウ</t>
    </rPh>
    <rPh sb="3" eb="5">
      <t>チョゾウ</t>
    </rPh>
    <phoneticPr fontId="1"/>
  </si>
  <si>
    <t>鋼梁</t>
    <rPh sb="0" eb="1">
      <t>ハガネ</t>
    </rPh>
    <rPh sb="1" eb="2">
      <t>ハリ</t>
    </rPh>
    <phoneticPr fontId="1"/>
  </si>
  <si>
    <t>数量</t>
    <rPh sb="0" eb="2">
      <t>スウリョウ</t>
    </rPh>
    <phoneticPr fontId="1"/>
  </si>
  <si>
    <t>計</t>
    <rPh sb="0" eb="1">
      <t>ケイ</t>
    </rPh>
    <phoneticPr fontId="1"/>
  </si>
  <si>
    <t>鉄鉱石</t>
  </si>
  <si>
    <t>鉄のインゴット</t>
  </si>
  <si>
    <t>製作機</t>
  </si>
  <si>
    <t>ネジ</t>
  </si>
  <si>
    <t>組立器</t>
  </si>
  <si>
    <t>ローター</t>
  </si>
  <si>
    <t>強化鉄板</t>
  </si>
  <si>
    <t>銅のシート</t>
  </si>
  <si>
    <t>銅のインゴット</t>
  </si>
  <si>
    <t>鋼梁</t>
  </si>
  <si>
    <t>鋼鉄のインゴット</t>
  </si>
  <si>
    <t>ワイヤー</t>
  </si>
  <si>
    <t>ケーブル</t>
  </si>
  <si>
    <t>石灰岩</t>
  </si>
  <si>
    <t>コンクリート被膜型鋼梁</t>
  </si>
  <si>
    <t>ID</t>
    <phoneticPr fontId="1"/>
  </si>
  <si>
    <t>アイテム名</t>
    <rPh sb="4" eb="5">
      <t>メイ</t>
    </rPh>
    <phoneticPr fontId="1"/>
  </si>
  <si>
    <t>機器名</t>
    <rPh sb="0" eb="3">
      <t>キキメイ</t>
    </rPh>
    <phoneticPr fontId="1"/>
  </si>
  <si>
    <t>作製時間</t>
    <rPh sb="0" eb="2">
      <t>サクセイ</t>
    </rPh>
    <rPh sb="2" eb="4">
      <t>ジカン</t>
    </rPh>
    <phoneticPr fontId="1"/>
  </si>
  <si>
    <t>/分</t>
    <rPh sb="1" eb="2">
      <t>プン</t>
    </rPh>
    <phoneticPr fontId="1"/>
  </si>
  <si>
    <t>生産量</t>
    <rPh sb="0" eb="2">
      <t>セイサン</t>
    </rPh>
    <rPh sb="2" eb="3">
      <t>リョウ</t>
    </rPh>
    <phoneticPr fontId="1"/>
  </si>
  <si>
    <t>材料数</t>
    <rPh sb="0" eb="2">
      <t>ザイリョウ</t>
    </rPh>
    <rPh sb="2" eb="3">
      <t>スウ</t>
    </rPh>
    <phoneticPr fontId="1"/>
  </si>
  <si>
    <t>銅鉱石</t>
  </si>
  <si>
    <t>固定子</t>
  </si>
  <si>
    <t>モーター</t>
  </si>
  <si>
    <t>スマートプレート</t>
  </si>
  <si>
    <t>多目的フレームワーク</t>
  </si>
  <si>
    <t>採掘機</t>
    <rPh sb="0" eb="2">
      <t>サイクツ</t>
    </rPh>
    <rPh sb="2" eb="3">
      <t>キ</t>
    </rPh>
    <phoneticPr fontId="1"/>
  </si>
  <si>
    <t>石炭</t>
    <rPh sb="0" eb="2">
      <t>セキタン</t>
    </rPh>
    <phoneticPr fontId="1"/>
  </si>
  <si>
    <t>石炭</t>
  </si>
  <si>
    <t>-------------------------------------------------------------------------------------------------------------------------------------------------------------------------------------------------------------------------------------------------------</t>
  </si>
  <si>
    <t>┃</t>
  </si>
  <si>
    <t xml:space="preserve">           ┗━━━</t>
  </si>
  <si>
    <t xml:space="preserve">            ┣━━━</t>
  </si>
  <si>
    <t>input</t>
    <phoneticPr fontId="1"/>
  </si>
  <si>
    <t>output</t>
    <phoneticPr fontId="1"/>
  </si>
  <si>
    <t>分岐機</t>
    <rPh sb="0" eb="2">
      <t>ブンキ</t>
    </rPh>
    <rPh sb="2" eb="3">
      <t>キ</t>
    </rPh>
    <phoneticPr fontId="1"/>
  </si>
  <si>
    <t>合流機</t>
    <rPh sb="0" eb="2">
      <t>ゴウリュウ</t>
    </rPh>
    <rPh sb="2" eb="3">
      <t>キ</t>
    </rPh>
    <phoneticPr fontId="1"/>
  </si>
  <si>
    <t>産業用貯蔵コンテナ</t>
    <rPh sb="0" eb="3">
      <t>サンギョウヨウ</t>
    </rPh>
    <rPh sb="3" eb="5">
      <t>チョゾウ</t>
    </rPh>
    <phoneticPr fontId="1"/>
  </si>
  <si>
    <t>建造物ID</t>
    <rPh sb="0" eb="3">
      <t>ケンゾウブツ</t>
    </rPh>
    <phoneticPr fontId="1"/>
  </si>
  <si>
    <t>レシピ</t>
    <phoneticPr fontId="1"/>
  </si>
  <si>
    <t>inputID</t>
    <phoneticPr fontId="1"/>
  </si>
  <si>
    <t>outputID</t>
    <phoneticPr fontId="1"/>
  </si>
  <si>
    <t>建造物数</t>
    <rPh sb="0" eb="3">
      <t>ケンゾウブツ</t>
    </rPh>
    <rPh sb="3" eb="4">
      <t>スウ</t>
    </rPh>
    <phoneticPr fontId="1"/>
  </si>
  <si>
    <t>ライン数</t>
    <rPh sb="3" eb="4">
      <t>スウ</t>
    </rPh>
    <phoneticPr fontId="1"/>
  </si>
  <si>
    <t>┃</t>
    <phoneticPr fontId="1"/>
  </si>
  <si>
    <t>ヘビーモジュラーフレーム</t>
  </si>
  <si>
    <t>ヘビーモジュラーフレーム</t>
    <phoneticPr fontId="1"/>
  </si>
  <si>
    <t>製造機</t>
    <rPh sb="0" eb="2">
      <t>セイゾウ</t>
    </rPh>
    <rPh sb="2" eb="3">
      <t>キ</t>
    </rPh>
    <phoneticPr fontId="1"/>
  </si>
  <si>
    <t>製造機</t>
    <rPh sb="0" eb="2">
      <t>セイゾウ</t>
    </rPh>
    <rPh sb="2" eb="3">
      <t>キ</t>
    </rPh>
    <phoneticPr fontId="1"/>
  </si>
  <si>
    <t>モジュラーフレーム</t>
    <phoneticPr fontId="1"/>
  </si>
  <si>
    <t>ネジ</t>
    <phoneticPr fontId="1"/>
  </si>
  <si>
    <t>回路基板</t>
  </si>
  <si>
    <t>回路基板</t>
    <rPh sb="0" eb="2">
      <t>カイロ</t>
    </rPh>
    <rPh sb="2" eb="4">
      <t>キバン</t>
    </rPh>
    <phoneticPr fontId="1"/>
  </si>
  <si>
    <t>組立機</t>
    <rPh sb="0" eb="2">
      <t>クミタテ</t>
    </rPh>
    <rPh sb="2" eb="3">
      <t>キ</t>
    </rPh>
    <phoneticPr fontId="1"/>
  </si>
  <si>
    <t>プラスチック</t>
  </si>
  <si>
    <t>プラスチック</t>
    <phoneticPr fontId="1"/>
  </si>
  <si>
    <t>原油</t>
  </si>
  <si>
    <t>原油</t>
    <rPh sb="0" eb="2">
      <t>ゲンユ</t>
    </rPh>
    <phoneticPr fontId="1"/>
  </si>
  <si>
    <t>抽出機</t>
  </si>
  <si>
    <t>精製機</t>
    <rPh sb="0" eb="2">
      <t>セイセイ</t>
    </rPh>
    <rPh sb="2" eb="3">
      <t>キ</t>
    </rPh>
    <phoneticPr fontId="1"/>
  </si>
  <si>
    <t>ゴム</t>
  </si>
  <si>
    <t>ゴム</t>
    <phoneticPr fontId="1"/>
  </si>
  <si>
    <t>コンピュータ</t>
  </si>
  <si>
    <t>コンピュータ</t>
    <phoneticPr fontId="1"/>
  </si>
  <si>
    <t>モジュラーエンジン</t>
  </si>
  <si>
    <t>モジュラーエンジン</t>
    <phoneticPr fontId="1"/>
  </si>
  <si>
    <t>自律ワイヤー</t>
  </si>
  <si>
    <t>自律ワイヤー</t>
    <rPh sb="0" eb="2">
      <t>ジリツ</t>
    </rPh>
    <phoneticPr fontId="1"/>
  </si>
  <si>
    <t>自律制御ユニット</t>
  </si>
  <si>
    <t>自律制御ユニット</t>
    <rPh sb="0" eb="2">
      <t>ジリツ</t>
    </rPh>
    <rPh sb="2" eb="4">
      <t>セイギョ</t>
    </rPh>
    <phoneticPr fontId="1"/>
  </si>
  <si>
    <t>鉄のインゴット</t>
    <phoneticPr fontId="1"/>
  </si>
  <si>
    <t>鉄鉱石</t>
    <phoneticPr fontId="1"/>
  </si>
  <si>
    <t>┃</t>
    <phoneticPr fontId="1"/>
  </si>
  <si>
    <t xml:space="preserve">           ┗━━━</t>
    <phoneticPr fontId="1"/>
  </si>
  <si>
    <t>-------------------------------------------------------------------------------------------------------------------------------------------------------------------------------------------------------------------------------------------------------</t>
    <phoneticPr fontId="1"/>
  </si>
  <si>
    <t>銅のインゴット</t>
    <phoneticPr fontId="1"/>
  </si>
  <si>
    <t>銅鉱石</t>
    <phoneticPr fontId="1"/>
  </si>
  <si>
    <t>鋼鉄のインゴット</t>
    <phoneticPr fontId="1"/>
  </si>
  <si>
    <t>石炭</t>
    <phoneticPr fontId="1"/>
  </si>
  <si>
    <t xml:space="preserve">            ┣━━━</t>
    <phoneticPr fontId="1"/>
  </si>
  <si>
    <t>鉄のロッド</t>
    <phoneticPr fontId="1"/>
  </si>
  <si>
    <t>鉄板</t>
    <phoneticPr fontId="1"/>
  </si>
  <si>
    <t>ローター</t>
    <phoneticPr fontId="1"/>
  </si>
  <si>
    <t>強化鉄板</t>
    <phoneticPr fontId="1"/>
  </si>
  <si>
    <t>銅のシート</t>
    <phoneticPr fontId="1"/>
  </si>
  <si>
    <t>鋼梁</t>
    <phoneticPr fontId="1"/>
  </si>
  <si>
    <t>鋼鉄のパイプ</t>
    <phoneticPr fontId="1"/>
  </si>
  <si>
    <t>ワイヤー</t>
    <phoneticPr fontId="1"/>
  </si>
  <si>
    <t>ケーブル</t>
    <phoneticPr fontId="1"/>
  </si>
  <si>
    <t>コンクリート</t>
    <phoneticPr fontId="1"/>
  </si>
  <si>
    <t>石灰岩</t>
    <phoneticPr fontId="1"/>
  </si>
  <si>
    <t>コンクリート被膜型鋼梁</t>
    <phoneticPr fontId="1"/>
  </si>
  <si>
    <t>固定子</t>
    <phoneticPr fontId="1"/>
  </si>
  <si>
    <t>モーター</t>
    <phoneticPr fontId="1"/>
  </si>
  <si>
    <t>スマートプレート</t>
    <phoneticPr fontId="1"/>
  </si>
  <si>
    <t>多目的フレームワーク</t>
    <phoneticPr fontId="1"/>
  </si>
  <si>
    <t>自律ワイヤー</t>
    <phoneticPr fontId="1"/>
  </si>
  <si>
    <t>材料１ID</t>
    <rPh sb="0" eb="2">
      <t>ザイリョウ</t>
    </rPh>
    <phoneticPr fontId="1"/>
  </si>
  <si>
    <t>材料2ID</t>
    <rPh sb="0" eb="2">
      <t>ザイリョウ</t>
    </rPh>
    <phoneticPr fontId="1"/>
  </si>
  <si>
    <t>材料3ID</t>
    <rPh sb="0" eb="2">
      <t>ザイリョウ</t>
    </rPh>
    <phoneticPr fontId="1"/>
  </si>
  <si>
    <t>材料4ID</t>
    <rPh sb="0" eb="2">
      <t>ザイリョウ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</si>
</sst>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5">
    <xf numFmtId="0" fontId="0" fillId="0" borderId="0" xfId="0">
      <alignment vertical="center"/>
    </xf>
    <xf numFmtId="0" fontId="0" fillId="0" borderId="0" xfId="0" applyAlignment="1">
      <alignment vertical="top" textRotation="180"/>
    </xf>
    <xf numFmtId="0" fontId="0" fillId="0" borderId="1" xfId="0" applyBorder="1">
      <alignment vertical="center"/>
    </xf>
    <xf numFmtId="0" fontId="0" fillId="0" borderId="1" xfId="0" applyBorder="1" applyAlignment="1">
      <alignment vertical="top" textRotation="180"/>
    </xf>
    <xf numFmtId="0" fontId="0" fillId="0" borderId="2" xfId="0" applyBorder="1">
      <alignment vertical="center"/>
    </xf>
    <xf numFmtId="0" fontId="0" fillId="0" borderId="2" xfId="0" applyBorder="1" applyAlignment="1">
      <alignment vertical="top" textRotation="180"/>
    </xf>
    <xf numFmtId="0" fontId="0" fillId="0" borderId="3" xfId="0" applyBorder="1">
      <alignment vertical="center"/>
    </xf>
    <xf numFmtId="0" fontId="0" fillId="0" borderId="4" xfId="0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2" borderId="3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0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0" fillId="0" borderId="16" xfId="0" applyBorder="1">
      <alignment vertical="center"/>
    </xf>
    <xf numFmtId="0" fontId="0" fillId="0" borderId="17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355021</xdr:rowOff>
    </xdr:from>
    <xdr:to>
      <xdr:col>7</xdr:col>
      <xdr:colOff>0</xdr:colOff>
      <xdr:row>4</xdr:row>
      <xdr:rowOff>355022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B7243926-CD6F-4466-88E3-B3DDF4FAD2E2}"/>
            </a:ext>
          </a:extLst>
        </xdr:cNvPr>
        <xdr:cNvSpPr/>
      </xdr:nvSpPr>
      <xdr:spPr>
        <a:xfrm>
          <a:off x="1385455" y="710044"/>
          <a:ext cx="1039090" cy="1065069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</xdr:col>
      <xdr:colOff>3752</xdr:colOff>
      <xdr:row>2</xdr:row>
      <xdr:rowOff>9522</xdr:rowOff>
    </xdr:from>
    <xdr:to>
      <xdr:col>15</xdr:col>
      <xdr:colOff>3751</xdr:colOff>
      <xdr:row>5</xdr:row>
      <xdr:rowOff>9523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A5343E09-4451-478E-B089-9B56600F99E8}"/>
            </a:ext>
          </a:extLst>
        </xdr:cNvPr>
        <xdr:cNvSpPr/>
      </xdr:nvSpPr>
      <xdr:spPr>
        <a:xfrm>
          <a:off x="4090843" y="725340"/>
          <a:ext cx="1021772" cy="107372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あｓｄｆｊはｓ；ｄｋｊｆｈ</a:t>
          </a:r>
        </a:p>
      </xdr:txBody>
    </xdr:sp>
    <xdr:clientData/>
  </xdr:twoCellAnchor>
  <xdr:twoCellAnchor>
    <xdr:from>
      <xdr:col>7</xdr:col>
      <xdr:colOff>0</xdr:colOff>
      <xdr:row>3</xdr:row>
      <xdr:rowOff>179242</xdr:rowOff>
    </xdr:from>
    <xdr:to>
      <xdr:col>12</xdr:col>
      <xdr:colOff>3752</xdr:colOff>
      <xdr:row>3</xdr:row>
      <xdr:rowOff>191652</xdr:rowOff>
    </xdr:to>
    <xdr:cxnSp macro="">
      <xdr:nvCxnSpPr>
        <xdr:cNvPr id="5" name="直線コネクタ 4">
          <a:extLst>
            <a:ext uri="{FF2B5EF4-FFF2-40B4-BE49-F238E27FC236}">
              <a16:creationId xmlns:a16="http://schemas.microsoft.com/office/drawing/2014/main" id="{1A5117AE-873F-4DB9-A432-15E17ACF0A33}"/>
            </a:ext>
          </a:extLst>
        </xdr:cNvPr>
        <xdr:cNvCxnSpPr>
          <a:stCxn id="2" idx="3"/>
          <a:endCxn id="3" idx="1"/>
        </xdr:cNvCxnSpPr>
      </xdr:nvCxnSpPr>
      <xdr:spPr>
        <a:xfrm>
          <a:off x="2384136" y="1252969"/>
          <a:ext cx="1706707" cy="1241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B719A-EA94-45A8-8DCF-7439FF6A9984}">
  <sheetPr codeName="Sheet2"/>
  <dimension ref="A1:AD13"/>
  <sheetViews>
    <sheetView workbookViewId="0">
      <selection activeCell="A19" sqref="A19"/>
    </sheetView>
  </sheetViews>
  <sheetFormatPr defaultColWidth="3.5" defaultRowHeight="18.75" x14ac:dyDescent="0.4"/>
  <cols>
    <col min="1" max="1" width="25.25" customWidth="1"/>
    <col min="16" max="16" width="19.375" customWidth="1"/>
    <col min="17" max="17" width="4.75" customWidth="1"/>
  </cols>
  <sheetData>
    <row r="1" spans="1:30" ht="144.94999999999999" customHeight="1" thickBot="1" x14ac:dyDescent="0.45">
      <c r="A1" s="2"/>
      <c r="B1" s="3" t="s">
        <v>28</v>
      </c>
      <c r="C1" s="3" t="s">
        <v>13</v>
      </c>
      <c r="D1" s="3" t="s">
        <v>14</v>
      </c>
      <c r="E1" s="3" t="s">
        <v>15</v>
      </c>
      <c r="F1" s="3" t="s">
        <v>18</v>
      </c>
      <c r="G1" s="3" t="s">
        <v>8</v>
      </c>
      <c r="H1" s="3" t="s">
        <v>12</v>
      </c>
      <c r="I1" s="3" t="s">
        <v>23</v>
      </c>
      <c r="J1" s="3" t="s">
        <v>11</v>
      </c>
      <c r="K1" s="3" t="s">
        <v>19</v>
      </c>
      <c r="L1" s="3" t="s">
        <v>9</v>
      </c>
      <c r="M1" s="3" t="s">
        <v>10</v>
      </c>
      <c r="N1" s="3" t="s">
        <v>30</v>
      </c>
      <c r="O1" s="1"/>
      <c r="P1" s="4"/>
      <c r="Q1" s="4" t="s">
        <v>31</v>
      </c>
      <c r="R1" s="5" t="s">
        <v>28</v>
      </c>
      <c r="S1" s="5" t="s">
        <v>13</v>
      </c>
      <c r="T1" s="5" t="s">
        <v>14</v>
      </c>
      <c r="U1" s="5" t="s">
        <v>15</v>
      </c>
      <c r="V1" s="5" t="s">
        <v>18</v>
      </c>
      <c r="W1" s="5" t="s">
        <v>8</v>
      </c>
      <c r="X1" s="5" t="s">
        <v>12</v>
      </c>
      <c r="Y1" s="5" t="s">
        <v>23</v>
      </c>
      <c r="Z1" s="5" t="s">
        <v>11</v>
      </c>
      <c r="AA1" s="5" t="s">
        <v>19</v>
      </c>
      <c r="AB1" s="5" t="s">
        <v>9</v>
      </c>
      <c r="AC1" s="5" t="s">
        <v>10</v>
      </c>
      <c r="AD1" s="5" t="s">
        <v>30</v>
      </c>
    </row>
    <row r="2" spans="1:30" ht="19.5" thickBot="1" x14ac:dyDescent="0.45">
      <c r="A2" s="2" t="s">
        <v>7</v>
      </c>
      <c r="B2" s="2"/>
      <c r="C2" s="2"/>
      <c r="D2" s="2"/>
      <c r="E2" s="2"/>
      <c r="F2" s="2"/>
      <c r="G2" s="2">
        <v>2</v>
      </c>
      <c r="H2" s="2"/>
      <c r="I2" s="2"/>
      <c r="J2" s="2">
        <v>10</v>
      </c>
      <c r="K2" s="2"/>
      <c r="L2" s="2">
        <v>10</v>
      </c>
      <c r="M2" s="2">
        <v>20</v>
      </c>
      <c r="N2" s="2"/>
      <c r="P2" s="7" t="s">
        <v>32</v>
      </c>
      <c r="Q2" s="8">
        <f t="shared" ref="Q2:AD2" si="0">SUM(Q3:Q13)</f>
        <v>12</v>
      </c>
      <c r="R2" s="8">
        <f t="shared" si="0"/>
        <v>0</v>
      </c>
      <c r="S2" s="8">
        <f t="shared" si="0"/>
        <v>0</v>
      </c>
      <c r="T2" s="8">
        <f t="shared" si="0"/>
        <v>40</v>
      </c>
      <c r="U2" s="8">
        <f t="shared" si="0"/>
        <v>64</v>
      </c>
      <c r="V2" s="8">
        <f t="shared" si="0"/>
        <v>0</v>
      </c>
      <c r="W2" s="8">
        <f t="shared" si="0"/>
        <v>8</v>
      </c>
      <c r="X2" s="8">
        <f t="shared" si="0"/>
        <v>0</v>
      </c>
      <c r="Y2" s="8">
        <f t="shared" si="0"/>
        <v>0</v>
      </c>
      <c r="Z2" s="8">
        <f t="shared" si="0"/>
        <v>40</v>
      </c>
      <c r="AA2" s="8">
        <f t="shared" si="0"/>
        <v>0</v>
      </c>
      <c r="AB2" s="8">
        <f t="shared" si="0"/>
        <v>40</v>
      </c>
      <c r="AC2" s="8">
        <f t="shared" si="0"/>
        <v>80</v>
      </c>
      <c r="AD2" s="9">
        <f t="shared" si="0"/>
        <v>0</v>
      </c>
    </row>
    <row r="3" spans="1:30" x14ac:dyDescent="0.4">
      <c r="A3" s="2" t="s">
        <v>17</v>
      </c>
      <c r="B3" s="2"/>
      <c r="C3" s="2"/>
      <c r="D3" s="2">
        <v>5</v>
      </c>
      <c r="E3" s="2">
        <v>8</v>
      </c>
      <c r="F3" s="2"/>
      <c r="G3" s="2"/>
      <c r="H3" s="2"/>
      <c r="I3" s="2"/>
      <c r="J3" s="2"/>
      <c r="K3" s="2"/>
      <c r="L3" s="2"/>
      <c r="M3" s="2"/>
      <c r="N3" s="2"/>
      <c r="P3" s="6" t="s">
        <v>7</v>
      </c>
      <c r="Q3" s="6">
        <v>4</v>
      </c>
      <c r="R3" s="10">
        <f t="shared" ref="R3:R13" si="1">$Q3*B2</f>
        <v>0</v>
      </c>
      <c r="S3" s="10">
        <f t="shared" ref="S3:S13" si="2">$Q3*C2</f>
        <v>0</v>
      </c>
      <c r="T3" s="10">
        <f t="shared" ref="T3:T13" si="3">$Q3*D2</f>
        <v>0</v>
      </c>
      <c r="U3" s="10">
        <f t="shared" ref="U3:U13" si="4">$Q3*E2</f>
        <v>0</v>
      </c>
      <c r="V3" s="10">
        <f t="shared" ref="V3:V13" si="5">$Q3*F2</f>
        <v>0</v>
      </c>
      <c r="W3" s="10">
        <f t="shared" ref="W3:W13" si="6">$Q3*G2</f>
        <v>8</v>
      </c>
      <c r="X3" s="10">
        <f t="shared" ref="X3:X13" si="7">$Q3*H2</f>
        <v>0</v>
      </c>
      <c r="Y3" s="10">
        <f t="shared" ref="Y3:Y13" si="8">$Q3*I2</f>
        <v>0</v>
      </c>
      <c r="Z3" s="10">
        <f t="shared" ref="Z3:Z13" si="9">$Q3*J2</f>
        <v>40</v>
      </c>
      <c r="AA3" s="10">
        <f t="shared" ref="AA3:AA13" si="10">$Q3*K2</f>
        <v>0</v>
      </c>
      <c r="AB3" s="10">
        <f t="shared" ref="AB3:AB13" si="11">$Q3*L2</f>
        <v>40</v>
      </c>
      <c r="AC3" s="10">
        <f t="shared" ref="AC3:AC13" si="12">$Q3*M2</f>
        <v>80</v>
      </c>
      <c r="AD3" s="10">
        <f t="shared" ref="AD3:AD13" si="13">$Q3*N2</f>
        <v>0</v>
      </c>
    </row>
    <row r="4" spans="1:30" x14ac:dyDescent="0.4">
      <c r="A4" s="2" t="s">
        <v>16</v>
      </c>
      <c r="B4" s="2"/>
      <c r="C4" s="2"/>
      <c r="D4" s="2"/>
      <c r="E4" s="2"/>
      <c r="F4" s="2">
        <v>20</v>
      </c>
      <c r="G4" s="2"/>
      <c r="H4" s="2"/>
      <c r="I4" s="2"/>
      <c r="J4" s="2">
        <v>10</v>
      </c>
      <c r="K4" s="2">
        <v>10</v>
      </c>
      <c r="L4" s="2"/>
      <c r="M4" s="2"/>
      <c r="N4" s="2"/>
      <c r="P4" s="2" t="s">
        <v>17</v>
      </c>
      <c r="Q4" s="2">
        <v>8</v>
      </c>
      <c r="R4" s="11">
        <f t="shared" si="1"/>
        <v>0</v>
      </c>
      <c r="S4" s="11">
        <f t="shared" si="2"/>
        <v>0</v>
      </c>
      <c r="T4" s="11">
        <f t="shared" si="3"/>
        <v>40</v>
      </c>
      <c r="U4" s="11">
        <f t="shared" si="4"/>
        <v>64</v>
      </c>
      <c r="V4" s="11">
        <f t="shared" si="5"/>
        <v>0</v>
      </c>
      <c r="W4" s="11">
        <f t="shared" si="6"/>
        <v>0</v>
      </c>
      <c r="X4" s="11">
        <f t="shared" si="7"/>
        <v>0</v>
      </c>
      <c r="Y4" s="11">
        <f t="shared" si="8"/>
        <v>0</v>
      </c>
      <c r="Z4" s="11">
        <f t="shared" si="9"/>
        <v>0</v>
      </c>
      <c r="AA4" s="11">
        <f t="shared" si="10"/>
        <v>0</v>
      </c>
      <c r="AB4" s="11">
        <f t="shared" si="11"/>
        <v>0</v>
      </c>
      <c r="AC4" s="11">
        <f t="shared" si="12"/>
        <v>0</v>
      </c>
      <c r="AD4" s="11">
        <f t="shared" si="13"/>
        <v>0</v>
      </c>
    </row>
    <row r="5" spans="1:30" x14ac:dyDescent="0.4">
      <c r="A5" s="2" t="s">
        <v>20</v>
      </c>
      <c r="B5" s="2"/>
      <c r="C5" s="2">
        <v>8</v>
      </c>
      <c r="D5" s="2"/>
      <c r="E5" s="2"/>
      <c r="F5" s="2"/>
      <c r="G5" s="2"/>
      <c r="H5" s="2">
        <v>2</v>
      </c>
      <c r="I5" s="2"/>
      <c r="J5" s="2"/>
      <c r="K5" s="2"/>
      <c r="L5" s="2"/>
      <c r="M5" s="2"/>
      <c r="N5" s="2"/>
      <c r="P5" s="2" t="s">
        <v>16</v>
      </c>
      <c r="Q5" s="2"/>
      <c r="R5" s="11">
        <f t="shared" si="1"/>
        <v>0</v>
      </c>
      <c r="S5" s="11">
        <f t="shared" si="2"/>
        <v>0</v>
      </c>
      <c r="T5" s="11">
        <f t="shared" si="3"/>
        <v>0</v>
      </c>
      <c r="U5" s="11">
        <f t="shared" si="4"/>
        <v>0</v>
      </c>
      <c r="V5" s="11">
        <f t="shared" si="5"/>
        <v>0</v>
      </c>
      <c r="W5" s="11">
        <f t="shared" si="6"/>
        <v>0</v>
      </c>
      <c r="X5" s="11">
        <f t="shared" si="7"/>
        <v>0</v>
      </c>
      <c r="Y5" s="11">
        <f t="shared" si="8"/>
        <v>0</v>
      </c>
      <c r="Z5" s="11">
        <f t="shared" si="9"/>
        <v>0</v>
      </c>
      <c r="AA5" s="11">
        <f t="shared" si="10"/>
        <v>0</v>
      </c>
      <c r="AB5" s="11">
        <f t="shared" si="11"/>
        <v>0</v>
      </c>
      <c r="AC5" s="11">
        <f t="shared" si="12"/>
        <v>0</v>
      </c>
      <c r="AD5" s="11">
        <f t="shared" si="13"/>
        <v>0</v>
      </c>
    </row>
    <row r="6" spans="1:30" x14ac:dyDescent="0.4">
      <c r="A6" s="2" t="s">
        <v>21</v>
      </c>
      <c r="B6" s="2"/>
      <c r="C6" s="2">
        <v>10</v>
      </c>
      <c r="D6" s="2"/>
      <c r="E6" s="2"/>
      <c r="F6" s="2"/>
      <c r="G6" s="2"/>
      <c r="H6" s="2">
        <v>8</v>
      </c>
      <c r="I6" s="2"/>
      <c r="J6" s="2"/>
      <c r="K6" s="2">
        <v>4</v>
      </c>
      <c r="L6" s="2"/>
      <c r="M6" s="2"/>
      <c r="N6" s="2"/>
      <c r="P6" s="2" t="s">
        <v>20</v>
      </c>
      <c r="Q6" s="2"/>
      <c r="R6" s="11">
        <f t="shared" si="1"/>
        <v>0</v>
      </c>
      <c r="S6" s="11">
        <f t="shared" si="2"/>
        <v>0</v>
      </c>
      <c r="T6" s="11">
        <f t="shared" si="3"/>
        <v>0</v>
      </c>
      <c r="U6" s="11">
        <f t="shared" si="4"/>
        <v>0</v>
      </c>
      <c r="V6" s="11">
        <f t="shared" si="5"/>
        <v>0</v>
      </c>
      <c r="W6" s="11">
        <f t="shared" si="6"/>
        <v>0</v>
      </c>
      <c r="X6" s="11">
        <f t="shared" si="7"/>
        <v>0</v>
      </c>
      <c r="Y6" s="11">
        <f t="shared" si="8"/>
        <v>0</v>
      </c>
      <c r="Z6" s="11">
        <f t="shared" si="9"/>
        <v>0</v>
      </c>
      <c r="AA6" s="11">
        <f t="shared" si="10"/>
        <v>0</v>
      </c>
      <c r="AB6" s="11">
        <f t="shared" si="11"/>
        <v>0</v>
      </c>
      <c r="AC6" s="11">
        <f t="shared" si="12"/>
        <v>0</v>
      </c>
      <c r="AD6" s="11">
        <f t="shared" si="13"/>
        <v>0</v>
      </c>
    </row>
    <row r="7" spans="1:30" x14ac:dyDescent="0.4">
      <c r="A7" s="2" t="s">
        <v>22</v>
      </c>
      <c r="B7" s="2"/>
      <c r="C7" s="2">
        <v>10</v>
      </c>
      <c r="D7" s="2"/>
      <c r="E7" s="2"/>
      <c r="F7" s="2"/>
      <c r="G7" s="2"/>
      <c r="H7" s="2">
        <v>10</v>
      </c>
      <c r="I7" s="2">
        <v>20</v>
      </c>
      <c r="J7" s="2"/>
      <c r="K7" s="2"/>
      <c r="L7" s="2"/>
      <c r="M7" s="2"/>
      <c r="N7" s="2"/>
      <c r="P7" s="2" t="s">
        <v>21</v>
      </c>
      <c r="Q7" s="2"/>
      <c r="R7" s="11">
        <f t="shared" si="1"/>
        <v>0</v>
      </c>
      <c r="S7" s="11">
        <f t="shared" si="2"/>
        <v>0</v>
      </c>
      <c r="T7" s="11">
        <f t="shared" si="3"/>
        <v>0</v>
      </c>
      <c r="U7" s="11">
        <f t="shared" si="4"/>
        <v>0</v>
      </c>
      <c r="V7" s="11">
        <f t="shared" si="5"/>
        <v>0</v>
      </c>
      <c r="W7" s="11">
        <f t="shared" si="6"/>
        <v>0</v>
      </c>
      <c r="X7" s="11">
        <f t="shared" si="7"/>
        <v>0</v>
      </c>
      <c r="Y7" s="11">
        <f t="shared" si="8"/>
        <v>0</v>
      </c>
      <c r="Z7" s="11">
        <f t="shared" si="9"/>
        <v>0</v>
      </c>
      <c r="AA7" s="11">
        <f t="shared" si="10"/>
        <v>0</v>
      </c>
      <c r="AB7" s="11">
        <f t="shared" si="11"/>
        <v>0</v>
      </c>
      <c r="AC7" s="11">
        <f t="shared" si="12"/>
        <v>0</v>
      </c>
      <c r="AD7" s="11">
        <f t="shared" si="13"/>
        <v>0</v>
      </c>
    </row>
    <row r="8" spans="1:30" x14ac:dyDescent="0.4">
      <c r="A8" s="2" t="s">
        <v>24</v>
      </c>
      <c r="B8" s="2"/>
      <c r="C8" s="2">
        <v>30</v>
      </c>
      <c r="D8" s="2"/>
      <c r="E8" s="2"/>
      <c r="F8" s="2"/>
      <c r="G8" s="2"/>
      <c r="H8" s="2">
        <v>20</v>
      </c>
      <c r="I8" s="2"/>
      <c r="J8" s="2"/>
      <c r="K8" s="2">
        <v>10</v>
      </c>
      <c r="L8" s="2"/>
      <c r="M8" s="2"/>
      <c r="N8" s="2"/>
      <c r="P8" s="2" t="s">
        <v>22</v>
      </c>
      <c r="Q8" s="2"/>
      <c r="R8" s="11">
        <f t="shared" si="1"/>
        <v>0</v>
      </c>
      <c r="S8" s="11">
        <f t="shared" si="2"/>
        <v>0</v>
      </c>
      <c r="T8" s="11">
        <f t="shared" si="3"/>
        <v>0</v>
      </c>
      <c r="U8" s="11">
        <f t="shared" si="4"/>
        <v>0</v>
      </c>
      <c r="V8" s="11">
        <f t="shared" si="5"/>
        <v>0</v>
      </c>
      <c r="W8" s="11">
        <f t="shared" si="6"/>
        <v>0</v>
      </c>
      <c r="X8" s="11">
        <f t="shared" si="7"/>
        <v>0</v>
      </c>
      <c r="Y8" s="11">
        <f t="shared" si="8"/>
        <v>0</v>
      </c>
      <c r="Z8" s="11">
        <f t="shared" si="9"/>
        <v>0</v>
      </c>
      <c r="AA8" s="11">
        <f t="shared" si="10"/>
        <v>0</v>
      </c>
      <c r="AB8" s="11">
        <f t="shared" si="11"/>
        <v>0</v>
      </c>
      <c r="AC8" s="11">
        <f t="shared" si="12"/>
        <v>0</v>
      </c>
      <c r="AD8" s="11">
        <f t="shared" si="13"/>
        <v>0</v>
      </c>
    </row>
    <row r="9" spans="1:30" x14ac:dyDescent="0.4">
      <c r="A9" s="2" t="s">
        <v>25</v>
      </c>
      <c r="B9" s="2"/>
      <c r="C9" s="2"/>
      <c r="D9" s="2">
        <v>1</v>
      </c>
      <c r="E9" s="2">
        <v>3</v>
      </c>
      <c r="F9" s="2">
        <v>1</v>
      </c>
      <c r="G9" s="2"/>
      <c r="H9" s="2"/>
      <c r="I9" s="2"/>
      <c r="J9" s="2"/>
      <c r="K9" s="2"/>
      <c r="L9" s="2"/>
      <c r="M9" s="2"/>
      <c r="N9" s="2"/>
      <c r="P9" s="2" t="s">
        <v>24</v>
      </c>
      <c r="Q9" s="2"/>
      <c r="R9" s="11">
        <f t="shared" si="1"/>
        <v>0</v>
      </c>
      <c r="S9" s="11">
        <f t="shared" si="2"/>
        <v>0</v>
      </c>
      <c r="T9" s="11">
        <f t="shared" si="3"/>
        <v>0</v>
      </c>
      <c r="U9" s="11">
        <f t="shared" si="4"/>
        <v>0</v>
      </c>
      <c r="V9" s="11">
        <f t="shared" si="5"/>
        <v>0</v>
      </c>
      <c r="W9" s="11">
        <f t="shared" si="6"/>
        <v>0</v>
      </c>
      <c r="X9" s="11">
        <f t="shared" si="7"/>
        <v>0</v>
      </c>
      <c r="Y9" s="11">
        <f t="shared" si="8"/>
        <v>0</v>
      </c>
      <c r="Z9" s="11">
        <f t="shared" si="9"/>
        <v>0</v>
      </c>
      <c r="AA9" s="11">
        <f t="shared" si="10"/>
        <v>0</v>
      </c>
      <c r="AB9" s="11">
        <f t="shared" si="11"/>
        <v>0</v>
      </c>
      <c r="AC9" s="11">
        <f t="shared" si="12"/>
        <v>0</v>
      </c>
      <c r="AD9" s="11">
        <f t="shared" si="13"/>
        <v>0</v>
      </c>
    </row>
    <row r="10" spans="1:30" x14ac:dyDescent="0.4">
      <c r="A10" s="2" t="s">
        <v>26</v>
      </c>
      <c r="B10" s="2"/>
      <c r="C10" s="2">
        <v>1</v>
      </c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P10" s="2" t="s">
        <v>25</v>
      </c>
      <c r="Q10" s="2"/>
      <c r="R10" s="11">
        <f t="shared" si="1"/>
        <v>0</v>
      </c>
      <c r="S10" s="11">
        <f t="shared" si="2"/>
        <v>0</v>
      </c>
      <c r="T10" s="11">
        <f t="shared" si="3"/>
        <v>0</v>
      </c>
      <c r="U10" s="11">
        <f t="shared" si="4"/>
        <v>0</v>
      </c>
      <c r="V10" s="11">
        <f t="shared" si="5"/>
        <v>0</v>
      </c>
      <c r="W10" s="11">
        <f t="shared" si="6"/>
        <v>0</v>
      </c>
      <c r="X10" s="11">
        <f t="shared" si="7"/>
        <v>0</v>
      </c>
      <c r="Y10" s="11">
        <f t="shared" si="8"/>
        <v>0</v>
      </c>
      <c r="Z10" s="11">
        <f t="shared" si="9"/>
        <v>0</v>
      </c>
      <c r="AA10" s="11">
        <f t="shared" si="10"/>
        <v>0</v>
      </c>
      <c r="AB10" s="11">
        <f t="shared" si="11"/>
        <v>0</v>
      </c>
      <c r="AC10" s="11">
        <f t="shared" si="12"/>
        <v>0</v>
      </c>
      <c r="AD10" s="11">
        <f t="shared" si="13"/>
        <v>0</v>
      </c>
    </row>
    <row r="11" spans="1:30" x14ac:dyDescent="0.4">
      <c r="A11" s="2" t="s">
        <v>27</v>
      </c>
      <c r="B11" s="2">
        <v>10</v>
      </c>
      <c r="C11" s="2"/>
      <c r="D11" s="2">
        <v>10</v>
      </c>
      <c r="E11" s="2"/>
      <c r="F11" s="2"/>
      <c r="G11" s="2"/>
      <c r="H11" s="2"/>
      <c r="I11" s="2"/>
      <c r="J11" s="2"/>
      <c r="K11" s="2"/>
      <c r="L11" s="2"/>
      <c r="M11" s="2"/>
      <c r="N11" s="2"/>
      <c r="P11" s="2" t="s">
        <v>26</v>
      </c>
      <c r="Q11" s="2"/>
      <c r="R11" s="11">
        <f t="shared" si="1"/>
        <v>0</v>
      </c>
      <c r="S11" s="11">
        <f t="shared" si="2"/>
        <v>0</v>
      </c>
      <c r="T11" s="11">
        <f t="shared" si="3"/>
        <v>0</v>
      </c>
      <c r="U11" s="11">
        <f t="shared" si="4"/>
        <v>0</v>
      </c>
      <c r="V11" s="11">
        <f t="shared" si="5"/>
        <v>0</v>
      </c>
      <c r="W11" s="11">
        <f t="shared" si="6"/>
        <v>0</v>
      </c>
      <c r="X11" s="11">
        <f t="shared" si="7"/>
        <v>0</v>
      </c>
      <c r="Y11" s="11">
        <f t="shared" si="8"/>
        <v>0</v>
      </c>
      <c r="Z11" s="11">
        <f t="shared" si="9"/>
        <v>0</v>
      </c>
      <c r="AA11" s="11">
        <f t="shared" si="10"/>
        <v>0</v>
      </c>
      <c r="AB11" s="11">
        <f t="shared" si="11"/>
        <v>0</v>
      </c>
      <c r="AC11" s="11">
        <f t="shared" si="12"/>
        <v>0</v>
      </c>
      <c r="AD11" s="11">
        <f t="shared" si="13"/>
        <v>0</v>
      </c>
    </row>
    <row r="12" spans="1:30" x14ac:dyDescent="0.4">
      <c r="A12" s="2" t="s">
        <v>29</v>
      </c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>
        <v>10</v>
      </c>
      <c r="N12" s="2">
        <v>10</v>
      </c>
      <c r="P12" s="2" t="s">
        <v>27</v>
      </c>
      <c r="Q12" s="2"/>
      <c r="R12" s="11">
        <f t="shared" si="1"/>
        <v>0</v>
      </c>
      <c r="S12" s="11">
        <f t="shared" si="2"/>
        <v>0</v>
      </c>
      <c r="T12" s="11">
        <f t="shared" si="3"/>
        <v>0</v>
      </c>
      <c r="U12" s="11">
        <f t="shared" si="4"/>
        <v>0</v>
      </c>
      <c r="V12" s="11">
        <f t="shared" si="5"/>
        <v>0</v>
      </c>
      <c r="W12" s="11">
        <f t="shared" si="6"/>
        <v>0</v>
      </c>
      <c r="X12" s="11">
        <f t="shared" si="7"/>
        <v>0</v>
      </c>
      <c r="Y12" s="11">
        <f t="shared" si="8"/>
        <v>0</v>
      </c>
      <c r="Z12" s="11">
        <f t="shared" si="9"/>
        <v>0</v>
      </c>
      <c r="AA12" s="11">
        <f t="shared" si="10"/>
        <v>0</v>
      </c>
      <c r="AB12" s="11">
        <f t="shared" si="11"/>
        <v>0</v>
      </c>
      <c r="AC12" s="11">
        <f t="shared" si="12"/>
        <v>0</v>
      </c>
      <c r="AD12" s="11">
        <f t="shared" si="13"/>
        <v>0</v>
      </c>
    </row>
    <row r="13" spans="1:30" x14ac:dyDescent="0.4">
      <c r="P13" s="2" t="s">
        <v>29</v>
      </c>
      <c r="Q13" s="2"/>
      <c r="R13" s="11">
        <f t="shared" si="1"/>
        <v>0</v>
      </c>
      <c r="S13" s="11">
        <f t="shared" si="2"/>
        <v>0</v>
      </c>
      <c r="T13" s="11">
        <f t="shared" si="3"/>
        <v>0</v>
      </c>
      <c r="U13" s="11">
        <f t="shared" si="4"/>
        <v>0</v>
      </c>
      <c r="V13" s="11">
        <f t="shared" si="5"/>
        <v>0</v>
      </c>
      <c r="W13" s="11">
        <f t="shared" si="6"/>
        <v>0</v>
      </c>
      <c r="X13" s="11">
        <f t="shared" si="7"/>
        <v>0</v>
      </c>
      <c r="Y13" s="11">
        <f t="shared" si="8"/>
        <v>0</v>
      </c>
      <c r="Z13" s="11">
        <f t="shared" si="9"/>
        <v>0</v>
      </c>
      <c r="AA13" s="11">
        <f t="shared" si="10"/>
        <v>0</v>
      </c>
      <c r="AB13" s="11">
        <f t="shared" si="11"/>
        <v>0</v>
      </c>
      <c r="AC13" s="11">
        <f t="shared" si="12"/>
        <v>0</v>
      </c>
      <c r="AD13" s="11">
        <f t="shared" si="13"/>
        <v>0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2EDF04-541A-4705-9D24-6A5DCA6DAEF6}">
  <sheetPr codeName="Sheet4"/>
  <dimension ref="A1:W35"/>
  <sheetViews>
    <sheetView tabSelected="1" workbookViewId="0">
      <pane ySplit="1" topLeftCell="A2" activePane="bottomLeft" state="frozen"/>
      <selection pane="bottomLeft" activeCell="J2" sqref="J2"/>
    </sheetView>
  </sheetViews>
  <sheetFormatPr defaultRowHeight="18.75" x14ac:dyDescent="0.4"/>
  <cols>
    <col min="2" max="2" width="25.125" customWidth="1"/>
    <col min="9" max="9" width="15.5" customWidth="1"/>
  </cols>
  <sheetData>
    <row r="1" spans="1:23" x14ac:dyDescent="0.4">
      <c r="A1" s="17" t="s">
        <v>48</v>
      </c>
      <c r="B1" s="18" t="s">
        <v>49</v>
      </c>
      <c r="C1" s="18" t="s">
        <v>50</v>
      </c>
      <c r="D1" s="18" t="s">
        <v>53</v>
      </c>
      <c r="E1" s="18" t="s">
        <v>51</v>
      </c>
      <c r="F1" s="18" t="s">
        <v>52</v>
      </c>
      <c r="G1" s="18" t="s">
        <v>54</v>
      </c>
      <c r="H1" s="17" t="s">
        <v>131</v>
      </c>
      <c r="I1" s="18"/>
      <c r="J1" s="18"/>
      <c r="K1" s="18"/>
      <c r="L1" s="17" t="s">
        <v>132</v>
      </c>
      <c r="M1" s="18"/>
      <c r="N1" s="18"/>
      <c r="O1" s="19"/>
      <c r="P1" s="18" t="s">
        <v>133</v>
      </c>
      <c r="Q1" s="18"/>
      <c r="R1" s="18"/>
      <c r="S1" s="18"/>
      <c r="T1" s="17" t="s">
        <v>134</v>
      </c>
      <c r="U1" s="18"/>
      <c r="V1" s="18"/>
      <c r="W1" s="19"/>
    </row>
    <row r="2" spans="1:23" x14ac:dyDescent="0.4">
      <c r="A2" s="20">
        <v>1</v>
      </c>
      <c r="B2" s="12" t="s">
        <v>34</v>
      </c>
      <c r="C2" s="12" t="s">
        <v>4</v>
      </c>
      <c r="D2" s="12">
        <v>1</v>
      </c>
      <c r="E2" s="12">
        <v>2</v>
      </c>
      <c r="F2" s="12">
        <f t="shared" ref="F2:F35" si="0">60/E2*D2</f>
        <v>30</v>
      </c>
      <c r="G2" s="12">
        <v>1</v>
      </c>
      <c r="H2" s="20">
        <v>22</v>
      </c>
      <c r="I2" s="12" t="str">
        <f>VLOOKUP(H2,A:B,2,)</f>
        <v>鉄鉱石</v>
      </c>
      <c r="J2" s="12">
        <v>1</v>
      </c>
      <c r="K2" s="12">
        <f>J2*60/$E2</f>
        <v>30</v>
      </c>
      <c r="L2" s="20"/>
      <c r="M2" s="12" t="e">
        <f>VLOOKUP(L2,A:B,2,)</f>
        <v>#N/A</v>
      </c>
      <c r="N2" s="12"/>
      <c r="O2" s="21"/>
      <c r="P2" s="12"/>
      <c r="Q2" s="12" t="e">
        <f>VLOOKUP(P2,A:B,2,)</f>
        <v>#N/A</v>
      </c>
      <c r="R2" s="12"/>
      <c r="S2" s="12"/>
      <c r="T2" s="20"/>
      <c r="U2" s="12" t="e">
        <f>VLOOKUP(T2,A:B,2,)</f>
        <v>#N/A</v>
      </c>
      <c r="V2" s="12"/>
      <c r="W2" s="21"/>
    </row>
    <row r="3" spans="1:23" x14ac:dyDescent="0.4">
      <c r="A3" s="20">
        <v>2</v>
      </c>
      <c r="B3" s="12" t="s">
        <v>41</v>
      </c>
      <c r="C3" s="12" t="s">
        <v>4</v>
      </c>
      <c r="D3" s="12">
        <v>1</v>
      </c>
      <c r="E3" s="12">
        <v>2</v>
      </c>
      <c r="F3" s="12">
        <f t="shared" si="0"/>
        <v>30</v>
      </c>
      <c r="G3" s="12">
        <v>1</v>
      </c>
      <c r="H3" s="20">
        <v>23</v>
      </c>
      <c r="I3" s="12" t="str">
        <f t="shared" ref="I3:I35" si="1">VLOOKUP(H3,A:B,2,)</f>
        <v>銅鉱石</v>
      </c>
      <c r="J3" s="12">
        <v>1</v>
      </c>
      <c r="K3" s="12">
        <f>J3*60/$E3</f>
        <v>30</v>
      </c>
      <c r="L3" s="20"/>
      <c r="M3" s="12" t="e">
        <f t="shared" ref="M3:M35" si="2">VLOOKUP(L3,A:B,2,)</f>
        <v>#N/A</v>
      </c>
      <c r="N3" s="12"/>
      <c r="O3" s="21"/>
      <c r="P3" s="12"/>
      <c r="Q3" s="12" t="e">
        <f t="shared" ref="Q3:Q35" si="3">VLOOKUP(P3,A:B,2,)</f>
        <v>#N/A</v>
      </c>
      <c r="R3" s="12"/>
      <c r="S3" s="12"/>
      <c r="T3" s="20"/>
      <c r="U3" s="12" t="e">
        <f t="shared" ref="U3:U35" si="4">VLOOKUP(T3,A:B,2,)</f>
        <v>#N/A</v>
      </c>
      <c r="V3" s="12"/>
      <c r="W3" s="21"/>
    </row>
    <row r="4" spans="1:23" x14ac:dyDescent="0.4">
      <c r="A4" s="20">
        <v>3</v>
      </c>
      <c r="B4" s="12" t="s">
        <v>43</v>
      </c>
      <c r="C4" s="12" t="s">
        <v>6</v>
      </c>
      <c r="D4" s="12">
        <v>3</v>
      </c>
      <c r="E4" s="12">
        <v>4</v>
      </c>
      <c r="F4" s="12">
        <f t="shared" si="0"/>
        <v>45</v>
      </c>
      <c r="G4" s="12">
        <v>2</v>
      </c>
      <c r="H4" s="20">
        <v>26</v>
      </c>
      <c r="I4" s="12" t="str">
        <f t="shared" si="1"/>
        <v>石炭</v>
      </c>
      <c r="J4" s="12">
        <v>3</v>
      </c>
      <c r="K4" s="12">
        <f>J4*60/$E4</f>
        <v>45</v>
      </c>
      <c r="L4" s="20">
        <v>22</v>
      </c>
      <c r="M4" s="12" t="str">
        <f t="shared" si="2"/>
        <v>鉄鉱石</v>
      </c>
      <c r="N4" s="12">
        <v>3</v>
      </c>
      <c r="O4" s="21"/>
      <c r="P4" s="12"/>
      <c r="Q4" s="12" t="e">
        <f t="shared" si="3"/>
        <v>#N/A</v>
      </c>
      <c r="R4" s="12"/>
      <c r="S4" s="12"/>
      <c r="T4" s="20"/>
      <c r="U4" s="12" t="e">
        <f t="shared" si="4"/>
        <v>#N/A</v>
      </c>
      <c r="V4" s="12"/>
      <c r="W4" s="21"/>
    </row>
    <row r="5" spans="1:23" x14ac:dyDescent="0.4">
      <c r="A5" s="20">
        <v>4</v>
      </c>
      <c r="B5" s="12" t="s">
        <v>5</v>
      </c>
      <c r="C5" s="12" t="s">
        <v>35</v>
      </c>
      <c r="D5" s="12">
        <v>1</v>
      </c>
      <c r="E5" s="12">
        <v>4</v>
      </c>
      <c r="F5" s="12">
        <f t="shared" si="0"/>
        <v>15</v>
      </c>
      <c r="G5" s="12">
        <v>1</v>
      </c>
      <c r="H5" s="20">
        <v>1</v>
      </c>
      <c r="I5" s="12" t="str">
        <f t="shared" si="1"/>
        <v>鉄のインゴット</v>
      </c>
      <c r="J5" s="12">
        <v>1</v>
      </c>
      <c r="K5" s="12">
        <f t="shared" ref="K5:K35" si="5">J5*60/$E5</f>
        <v>15</v>
      </c>
      <c r="L5" s="20"/>
      <c r="M5" s="12" t="e">
        <f t="shared" si="2"/>
        <v>#N/A</v>
      </c>
      <c r="N5" s="12"/>
      <c r="O5" s="21"/>
      <c r="P5" s="12"/>
      <c r="Q5" s="12" t="e">
        <f t="shared" si="3"/>
        <v>#N/A</v>
      </c>
      <c r="R5" s="12"/>
      <c r="S5" s="12"/>
      <c r="T5" s="20"/>
      <c r="U5" s="12" t="e">
        <f t="shared" si="4"/>
        <v>#N/A</v>
      </c>
      <c r="V5" s="12"/>
      <c r="W5" s="21"/>
    </row>
    <row r="6" spans="1:23" x14ac:dyDescent="0.4">
      <c r="A6" s="20">
        <v>5</v>
      </c>
      <c r="B6" s="12" t="s">
        <v>0</v>
      </c>
      <c r="C6" s="12" t="s">
        <v>35</v>
      </c>
      <c r="D6" s="12">
        <v>2</v>
      </c>
      <c r="E6" s="12">
        <v>6</v>
      </c>
      <c r="F6" s="12">
        <f t="shared" si="0"/>
        <v>20</v>
      </c>
      <c r="G6" s="12">
        <v>1</v>
      </c>
      <c r="H6" s="20">
        <v>1</v>
      </c>
      <c r="I6" s="12" t="str">
        <f t="shared" si="1"/>
        <v>鉄のインゴット</v>
      </c>
      <c r="J6" s="12">
        <v>3</v>
      </c>
      <c r="K6" s="12">
        <f t="shared" si="5"/>
        <v>30</v>
      </c>
      <c r="L6" s="20"/>
      <c r="M6" s="12" t="e">
        <f t="shared" si="2"/>
        <v>#N/A</v>
      </c>
      <c r="N6" s="12"/>
      <c r="O6" s="21"/>
      <c r="P6" s="12"/>
      <c r="Q6" s="12" t="e">
        <f t="shared" si="3"/>
        <v>#N/A</v>
      </c>
      <c r="R6" s="12"/>
      <c r="S6" s="12"/>
      <c r="T6" s="20"/>
      <c r="U6" s="12" t="e">
        <f t="shared" si="4"/>
        <v>#N/A</v>
      </c>
      <c r="V6" s="12"/>
      <c r="W6" s="21"/>
    </row>
    <row r="7" spans="1:23" x14ac:dyDescent="0.4">
      <c r="A7" s="20">
        <v>6</v>
      </c>
      <c r="B7" s="12" t="s">
        <v>36</v>
      </c>
      <c r="C7" s="12" t="s">
        <v>35</v>
      </c>
      <c r="D7" s="12">
        <v>4</v>
      </c>
      <c r="E7" s="12">
        <v>6</v>
      </c>
      <c r="F7" s="12">
        <f t="shared" si="0"/>
        <v>40</v>
      </c>
      <c r="G7" s="12">
        <v>1</v>
      </c>
      <c r="H7" s="20">
        <v>4</v>
      </c>
      <c r="I7" s="12" t="str">
        <f t="shared" si="1"/>
        <v>鉄のロッド</v>
      </c>
      <c r="J7" s="12">
        <v>1</v>
      </c>
      <c r="K7" s="12">
        <f t="shared" si="5"/>
        <v>10</v>
      </c>
      <c r="L7" s="20"/>
      <c r="M7" s="12" t="e">
        <f t="shared" si="2"/>
        <v>#N/A</v>
      </c>
      <c r="N7" s="12"/>
      <c r="O7" s="21"/>
      <c r="P7" s="12"/>
      <c r="Q7" s="12" t="e">
        <f t="shared" si="3"/>
        <v>#N/A</v>
      </c>
      <c r="R7" s="12"/>
      <c r="S7" s="12"/>
      <c r="T7" s="20"/>
      <c r="U7" s="12" t="e">
        <f t="shared" si="4"/>
        <v>#N/A</v>
      </c>
      <c r="V7" s="12"/>
      <c r="W7" s="21"/>
    </row>
    <row r="8" spans="1:23" x14ac:dyDescent="0.4">
      <c r="A8" s="20">
        <v>7</v>
      </c>
      <c r="B8" s="12" t="s">
        <v>38</v>
      </c>
      <c r="C8" s="12" t="s">
        <v>37</v>
      </c>
      <c r="D8" s="12">
        <v>1</v>
      </c>
      <c r="E8" s="12">
        <v>15</v>
      </c>
      <c r="F8" s="12">
        <f t="shared" si="0"/>
        <v>4</v>
      </c>
      <c r="G8" s="12">
        <v>2</v>
      </c>
      <c r="H8" s="20">
        <v>4</v>
      </c>
      <c r="I8" s="12" t="str">
        <f t="shared" si="1"/>
        <v>鉄のロッド</v>
      </c>
      <c r="J8" s="12">
        <v>5</v>
      </c>
      <c r="K8" s="12">
        <f t="shared" si="5"/>
        <v>20</v>
      </c>
      <c r="L8" s="20">
        <v>6</v>
      </c>
      <c r="M8" s="12" t="str">
        <f t="shared" si="2"/>
        <v>ネジ</v>
      </c>
      <c r="N8" s="12">
        <v>25</v>
      </c>
      <c r="O8" s="21">
        <f t="shared" ref="O8:O35" si="6">N8*60/$E8</f>
        <v>100</v>
      </c>
      <c r="P8" s="12"/>
      <c r="Q8" s="12" t="e">
        <f t="shared" si="3"/>
        <v>#N/A</v>
      </c>
      <c r="R8" s="12"/>
      <c r="S8" s="12"/>
      <c r="T8" s="20"/>
      <c r="U8" s="12" t="e">
        <f t="shared" si="4"/>
        <v>#N/A</v>
      </c>
      <c r="V8" s="12"/>
      <c r="W8" s="21"/>
    </row>
    <row r="9" spans="1:23" x14ac:dyDescent="0.4">
      <c r="A9" s="20">
        <v>8</v>
      </c>
      <c r="B9" s="12" t="s">
        <v>39</v>
      </c>
      <c r="C9" s="12" t="s">
        <v>37</v>
      </c>
      <c r="D9" s="12">
        <v>1</v>
      </c>
      <c r="E9" s="12">
        <v>12</v>
      </c>
      <c r="F9" s="12">
        <f t="shared" si="0"/>
        <v>5</v>
      </c>
      <c r="G9" s="12">
        <v>2</v>
      </c>
      <c r="H9" s="20">
        <v>5</v>
      </c>
      <c r="I9" s="12" t="str">
        <f t="shared" si="1"/>
        <v>鉄板</v>
      </c>
      <c r="J9" s="12">
        <v>6</v>
      </c>
      <c r="K9" s="12">
        <f t="shared" si="5"/>
        <v>30</v>
      </c>
      <c r="L9" s="20">
        <v>6</v>
      </c>
      <c r="M9" s="12" t="str">
        <f t="shared" si="2"/>
        <v>ネジ</v>
      </c>
      <c r="N9" s="12">
        <v>12</v>
      </c>
      <c r="O9" s="21">
        <f t="shared" si="6"/>
        <v>60</v>
      </c>
      <c r="P9" s="12"/>
      <c r="Q9" s="12" t="e">
        <f t="shared" si="3"/>
        <v>#N/A</v>
      </c>
      <c r="R9" s="12"/>
      <c r="S9" s="12"/>
      <c r="T9" s="20"/>
      <c r="U9" s="12" t="e">
        <f t="shared" si="4"/>
        <v>#N/A</v>
      </c>
      <c r="V9" s="12"/>
      <c r="W9" s="21"/>
    </row>
    <row r="10" spans="1:23" x14ac:dyDescent="0.4">
      <c r="A10" s="20">
        <v>9</v>
      </c>
      <c r="B10" s="12" t="s">
        <v>3</v>
      </c>
      <c r="C10" s="12" t="s">
        <v>37</v>
      </c>
      <c r="D10" s="12">
        <v>2</v>
      </c>
      <c r="E10" s="12">
        <v>60</v>
      </c>
      <c r="F10" s="12">
        <f t="shared" si="0"/>
        <v>2</v>
      </c>
      <c r="G10" s="12">
        <v>2</v>
      </c>
      <c r="H10" s="20">
        <v>8</v>
      </c>
      <c r="I10" s="12" t="str">
        <f t="shared" si="1"/>
        <v>強化鉄板</v>
      </c>
      <c r="J10" s="12">
        <v>3</v>
      </c>
      <c r="K10" s="12">
        <f t="shared" si="5"/>
        <v>3</v>
      </c>
      <c r="L10" s="20">
        <v>4</v>
      </c>
      <c r="M10" s="12" t="str">
        <f t="shared" si="2"/>
        <v>鉄のロッド</v>
      </c>
      <c r="N10" s="12">
        <v>12</v>
      </c>
      <c r="O10" s="21">
        <f t="shared" si="6"/>
        <v>12</v>
      </c>
      <c r="P10" s="12"/>
      <c r="Q10" s="12" t="e">
        <f t="shared" si="3"/>
        <v>#N/A</v>
      </c>
      <c r="R10" s="12"/>
      <c r="S10" s="12"/>
      <c r="T10" s="20"/>
      <c r="U10" s="12" t="e">
        <f t="shared" si="4"/>
        <v>#N/A</v>
      </c>
      <c r="V10" s="12"/>
      <c r="W10" s="21"/>
    </row>
    <row r="11" spans="1:23" x14ac:dyDescent="0.4">
      <c r="A11" s="20">
        <v>10</v>
      </c>
      <c r="B11" s="12" t="s">
        <v>40</v>
      </c>
      <c r="C11" s="12" t="s">
        <v>35</v>
      </c>
      <c r="D11" s="12">
        <v>1</v>
      </c>
      <c r="E11" s="12">
        <v>6</v>
      </c>
      <c r="F11" s="12">
        <f t="shared" si="0"/>
        <v>10</v>
      </c>
      <c r="G11" s="12">
        <v>1</v>
      </c>
      <c r="H11" s="20">
        <v>2</v>
      </c>
      <c r="I11" s="12" t="str">
        <f t="shared" si="1"/>
        <v>銅のインゴット</v>
      </c>
      <c r="J11" s="12">
        <v>2</v>
      </c>
      <c r="K11" s="12">
        <f t="shared" si="5"/>
        <v>20</v>
      </c>
      <c r="L11" s="20"/>
      <c r="M11" s="12" t="e">
        <f t="shared" si="2"/>
        <v>#N/A</v>
      </c>
      <c r="N11" s="12"/>
      <c r="O11" s="21"/>
      <c r="P11" s="12"/>
      <c r="Q11" s="12" t="e">
        <f t="shared" si="3"/>
        <v>#N/A</v>
      </c>
      <c r="R11" s="12"/>
      <c r="S11" s="12"/>
      <c r="T11" s="20"/>
      <c r="U11" s="12" t="e">
        <f t="shared" si="4"/>
        <v>#N/A</v>
      </c>
      <c r="V11" s="12"/>
      <c r="W11" s="21"/>
    </row>
    <row r="12" spans="1:23" x14ac:dyDescent="0.4">
      <c r="A12" s="20">
        <v>11</v>
      </c>
      <c r="B12" s="12" t="s">
        <v>42</v>
      </c>
      <c r="C12" s="12" t="s">
        <v>35</v>
      </c>
      <c r="D12" s="12">
        <v>1</v>
      </c>
      <c r="E12" s="12">
        <v>4</v>
      </c>
      <c r="F12" s="12">
        <f t="shared" si="0"/>
        <v>15</v>
      </c>
      <c r="G12" s="12">
        <v>1</v>
      </c>
      <c r="H12" s="20">
        <v>3</v>
      </c>
      <c r="I12" s="12" t="str">
        <f t="shared" si="1"/>
        <v>鋼鉄のインゴット</v>
      </c>
      <c r="J12" s="12">
        <v>4</v>
      </c>
      <c r="K12" s="12">
        <f t="shared" si="5"/>
        <v>60</v>
      </c>
      <c r="L12" s="20"/>
      <c r="M12" s="12" t="e">
        <f t="shared" si="2"/>
        <v>#N/A</v>
      </c>
      <c r="N12" s="12"/>
      <c r="O12" s="21"/>
      <c r="P12" s="12"/>
      <c r="Q12" s="12" t="e">
        <f t="shared" si="3"/>
        <v>#N/A</v>
      </c>
      <c r="R12" s="12"/>
      <c r="S12" s="12"/>
      <c r="T12" s="20"/>
      <c r="U12" s="12" t="e">
        <f t="shared" si="4"/>
        <v>#N/A</v>
      </c>
      <c r="V12" s="12"/>
      <c r="W12" s="21"/>
    </row>
    <row r="13" spans="1:23" x14ac:dyDescent="0.4">
      <c r="A13" s="20">
        <v>12</v>
      </c>
      <c r="B13" s="12" t="s">
        <v>2</v>
      </c>
      <c r="C13" s="12" t="s">
        <v>35</v>
      </c>
      <c r="D13" s="12">
        <v>2</v>
      </c>
      <c r="E13" s="12">
        <v>6</v>
      </c>
      <c r="F13" s="12">
        <f t="shared" si="0"/>
        <v>20</v>
      </c>
      <c r="G13" s="12">
        <v>1</v>
      </c>
      <c r="H13" s="20">
        <v>3</v>
      </c>
      <c r="I13" s="12" t="str">
        <f t="shared" si="1"/>
        <v>鋼鉄のインゴット</v>
      </c>
      <c r="J13" s="12">
        <v>3</v>
      </c>
      <c r="K13" s="12">
        <f t="shared" si="5"/>
        <v>30</v>
      </c>
      <c r="L13" s="20"/>
      <c r="M13" s="12" t="e">
        <f t="shared" si="2"/>
        <v>#N/A</v>
      </c>
      <c r="N13" s="12"/>
      <c r="O13" s="21"/>
      <c r="P13" s="12"/>
      <c r="Q13" s="12" t="e">
        <f t="shared" si="3"/>
        <v>#N/A</v>
      </c>
      <c r="R13" s="12"/>
      <c r="S13" s="12"/>
      <c r="T13" s="20"/>
      <c r="U13" s="12" t="e">
        <f t="shared" si="4"/>
        <v>#N/A</v>
      </c>
      <c r="V13" s="12"/>
      <c r="W13" s="21"/>
    </row>
    <row r="14" spans="1:23" x14ac:dyDescent="0.4">
      <c r="A14" s="20">
        <v>13</v>
      </c>
      <c r="B14" s="12" t="s">
        <v>44</v>
      </c>
      <c r="C14" s="12" t="s">
        <v>35</v>
      </c>
      <c r="D14" s="12">
        <v>2</v>
      </c>
      <c r="E14" s="12">
        <v>4</v>
      </c>
      <c r="F14" s="12">
        <f t="shared" si="0"/>
        <v>30</v>
      </c>
      <c r="G14" s="12">
        <v>1</v>
      </c>
      <c r="H14" s="20">
        <v>2</v>
      </c>
      <c r="I14" s="12" t="str">
        <f t="shared" si="1"/>
        <v>銅のインゴット</v>
      </c>
      <c r="J14" s="12">
        <v>1</v>
      </c>
      <c r="K14" s="12">
        <f t="shared" si="5"/>
        <v>15</v>
      </c>
      <c r="L14" s="20"/>
      <c r="M14" s="12" t="e">
        <f t="shared" si="2"/>
        <v>#N/A</v>
      </c>
      <c r="N14" s="12"/>
      <c r="O14" s="21"/>
      <c r="P14" s="12"/>
      <c r="Q14" s="12" t="e">
        <f t="shared" si="3"/>
        <v>#N/A</v>
      </c>
      <c r="R14" s="12"/>
      <c r="S14" s="12"/>
      <c r="T14" s="20"/>
      <c r="U14" s="12" t="e">
        <f t="shared" si="4"/>
        <v>#N/A</v>
      </c>
      <c r="V14" s="12"/>
      <c r="W14" s="21"/>
    </row>
    <row r="15" spans="1:23" x14ac:dyDescent="0.4">
      <c r="A15" s="20">
        <v>14</v>
      </c>
      <c r="B15" s="12" t="s">
        <v>45</v>
      </c>
      <c r="C15" s="12" t="s">
        <v>35</v>
      </c>
      <c r="D15" s="12">
        <v>1</v>
      </c>
      <c r="E15" s="12">
        <v>2</v>
      </c>
      <c r="F15" s="12">
        <f t="shared" si="0"/>
        <v>30</v>
      </c>
      <c r="G15" s="12">
        <v>1</v>
      </c>
      <c r="H15" s="20">
        <v>13</v>
      </c>
      <c r="I15" s="12" t="str">
        <f t="shared" si="1"/>
        <v>ワイヤー</v>
      </c>
      <c r="J15" s="12">
        <v>2</v>
      </c>
      <c r="K15" s="12">
        <f t="shared" si="5"/>
        <v>60</v>
      </c>
      <c r="L15" s="20"/>
      <c r="M15" s="12" t="e">
        <f t="shared" si="2"/>
        <v>#N/A</v>
      </c>
      <c r="N15" s="12"/>
      <c r="O15" s="21"/>
      <c r="P15" s="12"/>
      <c r="Q15" s="12" t="e">
        <f t="shared" si="3"/>
        <v>#N/A</v>
      </c>
      <c r="R15" s="12"/>
      <c r="S15" s="12"/>
      <c r="T15" s="20"/>
      <c r="U15" s="12" t="e">
        <f t="shared" si="4"/>
        <v>#N/A</v>
      </c>
      <c r="V15" s="12"/>
      <c r="W15" s="21"/>
    </row>
    <row r="16" spans="1:23" x14ac:dyDescent="0.4">
      <c r="A16" s="20">
        <v>15</v>
      </c>
      <c r="B16" s="12" t="s">
        <v>1</v>
      </c>
      <c r="C16" s="12" t="s">
        <v>35</v>
      </c>
      <c r="D16" s="12">
        <v>1</v>
      </c>
      <c r="E16" s="12">
        <v>4</v>
      </c>
      <c r="F16" s="12">
        <f t="shared" si="0"/>
        <v>15</v>
      </c>
      <c r="G16" s="12">
        <v>1</v>
      </c>
      <c r="H16" s="20">
        <v>25</v>
      </c>
      <c r="I16" s="12" t="str">
        <f t="shared" si="1"/>
        <v>石灰岩</v>
      </c>
      <c r="J16" s="12">
        <v>3</v>
      </c>
      <c r="K16" s="12">
        <f t="shared" si="5"/>
        <v>45</v>
      </c>
      <c r="L16" s="20"/>
      <c r="M16" s="12" t="e">
        <f t="shared" si="2"/>
        <v>#N/A</v>
      </c>
      <c r="N16" s="12"/>
      <c r="O16" s="21"/>
      <c r="P16" s="12"/>
      <c r="Q16" s="12" t="e">
        <f t="shared" si="3"/>
        <v>#N/A</v>
      </c>
      <c r="R16" s="12"/>
      <c r="S16" s="12"/>
      <c r="T16" s="20"/>
      <c r="U16" s="12" t="e">
        <f t="shared" si="4"/>
        <v>#N/A</v>
      </c>
      <c r="V16" s="12"/>
      <c r="W16" s="21"/>
    </row>
    <row r="17" spans="1:23" x14ac:dyDescent="0.4">
      <c r="A17" s="20">
        <v>16</v>
      </c>
      <c r="B17" s="12" t="s">
        <v>47</v>
      </c>
      <c r="C17" s="12" t="s">
        <v>37</v>
      </c>
      <c r="D17" s="12">
        <v>1</v>
      </c>
      <c r="E17" s="12">
        <v>10</v>
      </c>
      <c r="F17" s="12">
        <f t="shared" si="0"/>
        <v>6</v>
      </c>
      <c r="G17" s="12">
        <v>2</v>
      </c>
      <c r="H17" s="20">
        <v>11</v>
      </c>
      <c r="I17" s="12" t="str">
        <f t="shared" si="1"/>
        <v>鋼梁</v>
      </c>
      <c r="J17" s="12">
        <v>4</v>
      </c>
      <c r="K17" s="12">
        <f t="shared" si="5"/>
        <v>24</v>
      </c>
      <c r="L17" s="20">
        <v>15</v>
      </c>
      <c r="M17" s="12" t="str">
        <f t="shared" si="2"/>
        <v>コンクリート</v>
      </c>
      <c r="N17" s="12">
        <v>5</v>
      </c>
      <c r="O17" s="21">
        <f t="shared" si="6"/>
        <v>30</v>
      </c>
      <c r="P17" s="12"/>
      <c r="Q17" s="12" t="e">
        <f t="shared" si="3"/>
        <v>#N/A</v>
      </c>
      <c r="R17" s="12"/>
      <c r="S17" s="12"/>
      <c r="T17" s="20"/>
      <c r="U17" s="12" t="e">
        <f t="shared" si="4"/>
        <v>#N/A</v>
      </c>
      <c r="V17" s="12"/>
      <c r="W17" s="21"/>
    </row>
    <row r="18" spans="1:23" x14ac:dyDescent="0.4">
      <c r="A18" s="20">
        <v>17</v>
      </c>
      <c r="B18" s="12" t="s">
        <v>56</v>
      </c>
      <c r="C18" s="12" t="s">
        <v>37</v>
      </c>
      <c r="D18" s="12">
        <v>1</v>
      </c>
      <c r="E18" s="12">
        <v>12</v>
      </c>
      <c r="F18" s="12">
        <f t="shared" si="0"/>
        <v>5</v>
      </c>
      <c r="G18" s="12">
        <v>2</v>
      </c>
      <c r="H18" s="20">
        <v>12</v>
      </c>
      <c r="I18" s="12" t="str">
        <f t="shared" si="1"/>
        <v>鋼鉄のパイプ</v>
      </c>
      <c r="J18" s="12">
        <v>3</v>
      </c>
      <c r="K18" s="12">
        <f t="shared" si="5"/>
        <v>15</v>
      </c>
      <c r="L18" s="20">
        <v>13</v>
      </c>
      <c r="M18" s="12" t="str">
        <f t="shared" si="2"/>
        <v>ワイヤー</v>
      </c>
      <c r="N18" s="12">
        <v>8</v>
      </c>
      <c r="O18" s="21">
        <f t="shared" si="6"/>
        <v>40</v>
      </c>
      <c r="P18" s="12"/>
      <c r="Q18" s="12" t="e">
        <f t="shared" si="3"/>
        <v>#N/A</v>
      </c>
      <c r="R18" s="12"/>
      <c r="S18" s="12"/>
      <c r="T18" s="20"/>
      <c r="U18" s="12" t="e">
        <f t="shared" si="4"/>
        <v>#N/A</v>
      </c>
      <c r="V18" s="12"/>
      <c r="W18" s="21"/>
    </row>
    <row r="19" spans="1:23" x14ac:dyDescent="0.4">
      <c r="A19" s="20">
        <v>18</v>
      </c>
      <c r="B19" s="12" t="s">
        <v>57</v>
      </c>
      <c r="C19" s="12" t="s">
        <v>37</v>
      </c>
      <c r="D19" s="12">
        <v>1</v>
      </c>
      <c r="E19" s="12">
        <v>12</v>
      </c>
      <c r="F19" s="12">
        <f t="shared" si="0"/>
        <v>5</v>
      </c>
      <c r="G19" s="12">
        <v>2</v>
      </c>
      <c r="H19" s="20">
        <v>7</v>
      </c>
      <c r="I19" s="12" t="str">
        <f t="shared" si="1"/>
        <v>ローター</v>
      </c>
      <c r="J19" s="12">
        <v>2</v>
      </c>
      <c r="K19" s="12">
        <f t="shared" si="5"/>
        <v>10</v>
      </c>
      <c r="L19" s="20">
        <v>17</v>
      </c>
      <c r="M19" s="12" t="str">
        <f t="shared" si="2"/>
        <v>固定子</v>
      </c>
      <c r="N19" s="12">
        <v>2</v>
      </c>
      <c r="O19" s="21">
        <f t="shared" si="6"/>
        <v>10</v>
      </c>
      <c r="P19" s="12"/>
      <c r="Q19" s="12" t="e">
        <f t="shared" si="3"/>
        <v>#N/A</v>
      </c>
      <c r="R19" s="12"/>
      <c r="S19" s="12"/>
      <c r="T19" s="20"/>
      <c r="U19" s="12" t="e">
        <f t="shared" si="4"/>
        <v>#N/A</v>
      </c>
      <c r="V19" s="12"/>
      <c r="W19" s="21"/>
    </row>
    <row r="20" spans="1:23" x14ac:dyDescent="0.4">
      <c r="A20" s="20">
        <v>19</v>
      </c>
      <c r="B20" s="12" t="s">
        <v>58</v>
      </c>
      <c r="C20" s="12" t="s">
        <v>37</v>
      </c>
      <c r="D20" s="12">
        <v>1</v>
      </c>
      <c r="E20" s="12">
        <v>30</v>
      </c>
      <c r="F20" s="12">
        <f t="shared" si="0"/>
        <v>2</v>
      </c>
      <c r="G20" s="12">
        <v>2</v>
      </c>
      <c r="H20" s="20">
        <v>8</v>
      </c>
      <c r="I20" s="12" t="str">
        <f t="shared" si="1"/>
        <v>強化鉄板</v>
      </c>
      <c r="J20" s="12">
        <v>1</v>
      </c>
      <c r="K20" s="12">
        <f t="shared" si="5"/>
        <v>2</v>
      </c>
      <c r="L20" s="20">
        <v>18</v>
      </c>
      <c r="M20" s="12" t="str">
        <f t="shared" si="2"/>
        <v>モーター</v>
      </c>
      <c r="N20" s="12">
        <v>1</v>
      </c>
      <c r="O20" s="21">
        <f t="shared" si="6"/>
        <v>2</v>
      </c>
      <c r="P20" s="12"/>
      <c r="Q20" s="12" t="e">
        <f t="shared" si="3"/>
        <v>#N/A</v>
      </c>
      <c r="R20" s="12"/>
      <c r="S20" s="12"/>
      <c r="T20" s="20"/>
      <c r="U20" s="12" t="e">
        <f t="shared" si="4"/>
        <v>#N/A</v>
      </c>
      <c r="V20" s="12"/>
      <c r="W20" s="21"/>
    </row>
    <row r="21" spans="1:23" x14ac:dyDescent="0.4">
      <c r="A21" s="20">
        <v>20</v>
      </c>
      <c r="B21" s="12" t="s">
        <v>59</v>
      </c>
      <c r="C21" s="12" t="s">
        <v>37</v>
      </c>
      <c r="D21" s="12">
        <v>2</v>
      </c>
      <c r="E21" s="12">
        <v>24</v>
      </c>
      <c r="F21" s="12">
        <f t="shared" si="0"/>
        <v>5</v>
      </c>
      <c r="G21" s="12">
        <v>2</v>
      </c>
      <c r="H21" s="20">
        <v>9</v>
      </c>
      <c r="I21" s="12" t="str">
        <f t="shared" si="1"/>
        <v>モジュラーフレーム</v>
      </c>
      <c r="J21" s="12">
        <v>1</v>
      </c>
      <c r="K21" s="12">
        <f t="shared" si="5"/>
        <v>2.5</v>
      </c>
      <c r="L21" s="20">
        <v>11</v>
      </c>
      <c r="M21" s="12" t="str">
        <f t="shared" si="2"/>
        <v>鋼梁</v>
      </c>
      <c r="N21" s="12">
        <v>12</v>
      </c>
      <c r="O21" s="21">
        <f t="shared" si="6"/>
        <v>30</v>
      </c>
      <c r="P21" s="12"/>
      <c r="Q21" s="12" t="e">
        <f t="shared" si="3"/>
        <v>#N/A</v>
      </c>
      <c r="R21" s="12"/>
      <c r="S21" s="12"/>
      <c r="T21" s="20"/>
      <c r="U21" s="12" t="e">
        <f t="shared" si="4"/>
        <v>#N/A</v>
      </c>
      <c r="V21" s="12"/>
      <c r="W21" s="21"/>
    </row>
    <row r="22" spans="1:23" x14ac:dyDescent="0.4">
      <c r="A22" s="20">
        <v>21</v>
      </c>
      <c r="B22" s="12" t="s">
        <v>101</v>
      </c>
      <c r="C22" s="12" t="s">
        <v>37</v>
      </c>
      <c r="D22" s="12">
        <v>1</v>
      </c>
      <c r="E22" s="12">
        <v>24</v>
      </c>
      <c r="F22" s="12">
        <f t="shared" si="0"/>
        <v>2.5</v>
      </c>
      <c r="G22" s="12">
        <v>2</v>
      </c>
      <c r="H22" s="20">
        <v>17</v>
      </c>
      <c r="I22" s="12" t="str">
        <f t="shared" si="1"/>
        <v>固定子</v>
      </c>
      <c r="J22" s="12">
        <v>1</v>
      </c>
      <c r="K22" s="12">
        <f t="shared" si="5"/>
        <v>2.5</v>
      </c>
      <c r="L22" s="20">
        <v>14</v>
      </c>
      <c r="M22" s="12" t="str">
        <f t="shared" si="2"/>
        <v>ケーブル</v>
      </c>
      <c r="N22" s="12">
        <v>20</v>
      </c>
      <c r="O22" s="21">
        <f t="shared" si="6"/>
        <v>50</v>
      </c>
      <c r="P22" s="12"/>
      <c r="Q22" s="12" t="e">
        <f t="shared" si="3"/>
        <v>#N/A</v>
      </c>
      <c r="R22" s="12"/>
      <c r="S22" s="12"/>
      <c r="T22" s="20"/>
      <c r="U22" s="12" t="e">
        <f t="shared" si="4"/>
        <v>#N/A</v>
      </c>
      <c r="V22" s="12"/>
      <c r="W22" s="21"/>
    </row>
    <row r="23" spans="1:23" x14ac:dyDescent="0.4">
      <c r="A23" s="20">
        <v>22</v>
      </c>
      <c r="B23" s="12" t="s">
        <v>33</v>
      </c>
      <c r="C23" s="12" t="s">
        <v>60</v>
      </c>
      <c r="D23" s="12">
        <v>1</v>
      </c>
      <c r="E23" s="12">
        <v>1</v>
      </c>
      <c r="F23" s="12">
        <f t="shared" si="0"/>
        <v>60</v>
      </c>
      <c r="G23" s="12">
        <v>0</v>
      </c>
      <c r="H23" s="20"/>
      <c r="I23" s="12" t="e">
        <f t="shared" si="1"/>
        <v>#N/A</v>
      </c>
      <c r="J23" s="12"/>
      <c r="K23" s="12">
        <f t="shared" si="5"/>
        <v>0</v>
      </c>
      <c r="L23" s="20"/>
      <c r="M23" s="12" t="e">
        <f t="shared" si="2"/>
        <v>#N/A</v>
      </c>
      <c r="N23" s="12"/>
      <c r="O23" s="21">
        <f t="shared" si="6"/>
        <v>0</v>
      </c>
      <c r="P23" s="12"/>
      <c r="Q23" s="12" t="e">
        <f t="shared" si="3"/>
        <v>#N/A</v>
      </c>
      <c r="R23" s="12"/>
      <c r="S23" s="12"/>
      <c r="T23" s="20"/>
      <c r="U23" s="12" t="e">
        <f t="shared" si="4"/>
        <v>#N/A</v>
      </c>
      <c r="V23" s="12"/>
      <c r="W23" s="21"/>
    </row>
    <row r="24" spans="1:23" x14ac:dyDescent="0.4">
      <c r="A24" s="20">
        <v>23</v>
      </c>
      <c r="B24" s="12" t="s">
        <v>55</v>
      </c>
      <c r="C24" s="12" t="s">
        <v>60</v>
      </c>
      <c r="D24" s="12">
        <v>1</v>
      </c>
      <c r="E24" s="12">
        <v>1</v>
      </c>
      <c r="F24" s="12">
        <f t="shared" si="0"/>
        <v>60</v>
      </c>
      <c r="G24" s="12">
        <v>0</v>
      </c>
      <c r="H24" s="20"/>
      <c r="I24" s="12" t="e">
        <f t="shared" si="1"/>
        <v>#N/A</v>
      </c>
      <c r="J24" s="12"/>
      <c r="K24" s="12">
        <f t="shared" si="5"/>
        <v>0</v>
      </c>
      <c r="L24" s="20"/>
      <c r="M24" s="12" t="e">
        <f t="shared" si="2"/>
        <v>#N/A</v>
      </c>
      <c r="N24" s="12"/>
      <c r="O24" s="21">
        <f t="shared" si="6"/>
        <v>0</v>
      </c>
      <c r="P24" s="12"/>
      <c r="Q24" s="12" t="e">
        <f t="shared" si="3"/>
        <v>#N/A</v>
      </c>
      <c r="R24" s="12"/>
      <c r="S24" s="12"/>
      <c r="T24" s="20"/>
      <c r="U24" s="12" t="e">
        <f t="shared" si="4"/>
        <v>#N/A</v>
      </c>
      <c r="V24" s="12"/>
      <c r="W24" s="21"/>
    </row>
    <row r="25" spans="1:23" x14ac:dyDescent="0.4">
      <c r="A25" s="20">
        <v>24</v>
      </c>
      <c r="B25" s="12" t="s">
        <v>33</v>
      </c>
      <c r="C25" s="12" t="s">
        <v>60</v>
      </c>
      <c r="D25" s="12">
        <v>1</v>
      </c>
      <c r="E25" s="12">
        <v>1</v>
      </c>
      <c r="F25" s="12">
        <f t="shared" si="0"/>
        <v>60</v>
      </c>
      <c r="G25" s="12">
        <v>0</v>
      </c>
      <c r="H25" s="20"/>
      <c r="I25" s="12" t="e">
        <f t="shared" si="1"/>
        <v>#N/A</v>
      </c>
      <c r="J25" s="12"/>
      <c r="K25" s="12">
        <f t="shared" si="5"/>
        <v>0</v>
      </c>
      <c r="L25" s="20"/>
      <c r="M25" s="12" t="e">
        <f t="shared" si="2"/>
        <v>#N/A</v>
      </c>
      <c r="N25" s="12"/>
      <c r="O25" s="21">
        <f t="shared" si="6"/>
        <v>0</v>
      </c>
      <c r="P25" s="12"/>
      <c r="Q25" s="12" t="e">
        <f t="shared" si="3"/>
        <v>#N/A</v>
      </c>
      <c r="R25" s="12"/>
      <c r="S25" s="12"/>
      <c r="T25" s="20"/>
      <c r="U25" s="12" t="e">
        <f t="shared" si="4"/>
        <v>#N/A</v>
      </c>
      <c r="V25" s="12"/>
      <c r="W25" s="21"/>
    </row>
    <row r="26" spans="1:23" x14ac:dyDescent="0.4">
      <c r="A26" s="20">
        <v>25</v>
      </c>
      <c r="B26" s="12" t="s">
        <v>46</v>
      </c>
      <c r="C26" s="12" t="s">
        <v>60</v>
      </c>
      <c r="D26" s="12">
        <v>1</v>
      </c>
      <c r="E26" s="12">
        <v>1</v>
      </c>
      <c r="F26" s="12">
        <f t="shared" si="0"/>
        <v>60</v>
      </c>
      <c r="G26" s="12">
        <v>0</v>
      </c>
      <c r="H26" s="20"/>
      <c r="I26" s="12" t="e">
        <f t="shared" si="1"/>
        <v>#N/A</v>
      </c>
      <c r="J26" s="12"/>
      <c r="K26" s="12">
        <f t="shared" si="5"/>
        <v>0</v>
      </c>
      <c r="L26" s="20"/>
      <c r="M26" s="12" t="e">
        <f t="shared" si="2"/>
        <v>#N/A</v>
      </c>
      <c r="N26" s="12"/>
      <c r="O26" s="21">
        <f t="shared" si="6"/>
        <v>0</v>
      </c>
      <c r="P26" s="12"/>
      <c r="Q26" s="12" t="e">
        <f t="shared" si="3"/>
        <v>#N/A</v>
      </c>
      <c r="R26" s="12"/>
      <c r="S26" s="12"/>
      <c r="T26" s="20"/>
      <c r="U26" s="12" t="e">
        <f t="shared" si="4"/>
        <v>#N/A</v>
      </c>
      <c r="V26" s="12"/>
      <c r="W26" s="21"/>
    </row>
    <row r="27" spans="1:23" x14ac:dyDescent="0.4">
      <c r="A27" s="20">
        <v>26</v>
      </c>
      <c r="B27" s="12" t="s">
        <v>61</v>
      </c>
      <c r="C27" s="12" t="s">
        <v>60</v>
      </c>
      <c r="D27" s="12">
        <v>1</v>
      </c>
      <c r="E27" s="12">
        <v>1</v>
      </c>
      <c r="F27" s="12">
        <f t="shared" si="0"/>
        <v>60</v>
      </c>
      <c r="G27" s="12">
        <v>0</v>
      </c>
      <c r="H27" s="20"/>
      <c r="I27" s="12" t="e">
        <f t="shared" si="1"/>
        <v>#N/A</v>
      </c>
      <c r="J27" s="12"/>
      <c r="K27" s="12">
        <f t="shared" si="5"/>
        <v>0</v>
      </c>
      <c r="L27" s="20"/>
      <c r="M27" s="12" t="e">
        <f t="shared" si="2"/>
        <v>#N/A</v>
      </c>
      <c r="N27" s="12"/>
      <c r="O27" s="21">
        <f t="shared" si="6"/>
        <v>0</v>
      </c>
      <c r="P27" s="12"/>
      <c r="Q27" s="12" t="e">
        <f t="shared" si="3"/>
        <v>#N/A</v>
      </c>
      <c r="R27" s="12"/>
      <c r="S27" s="12"/>
      <c r="T27" s="20"/>
      <c r="U27" s="12" t="e">
        <f t="shared" si="4"/>
        <v>#N/A</v>
      </c>
      <c r="V27" s="12"/>
      <c r="W27" s="21"/>
    </row>
    <row r="28" spans="1:23" x14ac:dyDescent="0.4">
      <c r="A28" s="20">
        <v>27</v>
      </c>
      <c r="B28" s="12" t="s">
        <v>80</v>
      </c>
      <c r="C28" s="12" t="s">
        <v>81</v>
      </c>
      <c r="D28" s="12">
        <v>1</v>
      </c>
      <c r="E28" s="12">
        <v>30</v>
      </c>
      <c r="F28" s="12">
        <f t="shared" si="0"/>
        <v>2</v>
      </c>
      <c r="G28" s="12">
        <v>4</v>
      </c>
      <c r="H28" s="20">
        <v>9</v>
      </c>
      <c r="I28" s="12" t="str">
        <f t="shared" si="1"/>
        <v>モジュラーフレーム</v>
      </c>
      <c r="J28" s="12">
        <v>5</v>
      </c>
      <c r="K28" s="12">
        <f t="shared" si="5"/>
        <v>10</v>
      </c>
      <c r="L28" s="20">
        <v>12</v>
      </c>
      <c r="M28" s="12" t="str">
        <f t="shared" si="2"/>
        <v>鋼鉄のパイプ</v>
      </c>
      <c r="N28" s="12">
        <v>15</v>
      </c>
      <c r="O28" s="21">
        <f t="shared" si="6"/>
        <v>30</v>
      </c>
      <c r="P28" s="12">
        <v>15</v>
      </c>
      <c r="Q28" s="12" t="str">
        <f t="shared" si="3"/>
        <v>コンクリート</v>
      </c>
      <c r="R28" s="12">
        <v>5</v>
      </c>
      <c r="S28" s="12">
        <f t="shared" ref="S28" si="7">R28*60/$E28</f>
        <v>10</v>
      </c>
      <c r="T28" s="20">
        <v>6</v>
      </c>
      <c r="U28" s="12" t="str">
        <f t="shared" si="4"/>
        <v>ネジ</v>
      </c>
      <c r="V28" s="12">
        <v>100</v>
      </c>
      <c r="W28" s="21">
        <f t="shared" ref="W28" si="8">V28*60/$E28</f>
        <v>200</v>
      </c>
    </row>
    <row r="29" spans="1:23" x14ac:dyDescent="0.4">
      <c r="A29" s="20">
        <v>28</v>
      </c>
      <c r="B29" s="12" t="s">
        <v>86</v>
      </c>
      <c r="C29" s="12" t="s">
        <v>87</v>
      </c>
      <c r="D29" s="12">
        <v>1</v>
      </c>
      <c r="E29" s="12">
        <v>8</v>
      </c>
      <c r="F29" s="12">
        <f t="shared" si="0"/>
        <v>7.5</v>
      </c>
      <c r="G29" s="12">
        <v>2</v>
      </c>
      <c r="H29" s="20">
        <v>10</v>
      </c>
      <c r="I29" s="12" t="str">
        <f t="shared" si="1"/>
        <v>銅のシート</v>
      </c>
      <c r="J29" s="12">
        <v>2</v>
      </c>
      <c r="K29" s="12">
        <f t="shared" si="5"/>
        <v>15</v>
      </c>
      <c r="L29" s="20">
        <v>29</v>
      </c>
      <c r="M29" s="12" t="str">
        <f t="shared" si="2"/>
        <v>プラスチック</v>
      </c>
      <c r="N29" s="12">
        <v>4</v>
      </c>
      <c r="O29" s="21">
        <f t="shared" si="6"/>
        <v>30</v>
      </c>
      <c r="P29" s="12"/>
      <c r="Q29" s="12" t="e">
        <f t="shared" si="3"/>
        <v>#N/A</v>
      </c>
      <c r="R29" s="12"/>
      <c r="S29" s="12"/>
      <c r="T29" s="20"/>
      <c r="U29" s="12" t="e">
        <f t="shared" si="4"/>
        <v>#N/A</v>
      </c>
      <c r="V29" s="12"/>
      <c r="W29" s="21"/>
    </row>
    <row r="30" spans="1:23" x14ac:dyDescent="0.4">
      <c r="A30" s="20">
        <v>29</v>
      </c>
      <c r="B30" s="12" t="s">
        <v>89</v>
      </c>
      <c r="C30" s="12" t="s">
        <v>93</v>
      </c>
      <c r="D30" s="12">
        <v>2</v>
      </c>
      <c r="E30" s="12">
        <v>6</v>
      </c>
      <c r="F30" s="12">
        <f t="shared" si="0"/>
        <v>20</v>
      </c>
      <c r="G30" s="12">
        <v>1</v>
      </c>
      <c r="H30" s="20">
        <v>30</v>
      </c>
      <c r="I30" s="12" t="str">
        <f t="shared" si="1"/>
        <v>原油</v>
      </c>
      <c r="J30" s="12">
        <v>3</v>
      </c>
      <c r="K30" s="12">
        <f t="shared" si="5"/>
        <v>30</v>
      </c>
      <c r="L30" s="20"/>
      <c r="M30" s="12" t="e">
        <f t="shared" si="2"/>
        <v>#N/A</v>
      </c>
      <c r="N30" s="12"/>
      <c r="O30" s="21">
        <f t="shared" si="6"/>
        <v>0</v>
      </c>
      <c r="P30" s="12"/>
      <c r="Q30" s="12" t="e">
        <f t="shared" si="3"/>
        <v>#N/A</v>
      </c>
      <c r="R30" s="12"/>
      <c r="S30" s="12"/>
      <c r="T30" s="20"/>
      <c r="U30" s="12" t="e">
        <f t="shared" si="4"/>
        <v>#N/A</v>
      </c>
      <c r="V30" s="12"/>
      <c r="W30" s="21"/>
    </row>
    <row r="31" spans="1:23" x14ac:dyDescent="0.4">
      <c r="A31" s="20">
        <v>30</v>
      </c>
      <c r="B31" s="12" t="s">
        <v>91</v>
      </c>
      <c r="C31" s="12" t="s">
        <v>92</v>
      </c>
      <c r="D31" s="12">
        <v>1</v>
      </c>
      <c r="E31" s="12">
        <v>1</v>
      </c>
      <c r="F31" s="12">
        <f t="shared" si="0"/>
        <v>60</v>
      </c>
      <c r="G31" s="12">
        <v>0</v>
      </c>
      <c r="H31" s="20"/>
      <c r="I31" s="12" t="e">
        <f t="shared" si="1"/>
        <v>#N/A</v>
      </c>
      <c r="J31" s="12"/>
      <c r="K31" s="12">
        <f t="shared" si="5"/>
        <v>0</v>
      </c>
      <c r="L31" s="20"/>
      <c r="M31" s="12" t="e">
        <f t="shared" si="2"/>
        <v>#N/A</v>
      </c>
      <c r="N31" s="12"/>
      <c r="O31" s="21">
        <f t="shared" si="6"/>
        <v>0</v>
      </c>
      <c r="P31" s="12"/>
      <c r="Q31" s="12" t="e">
        <f t="shared" si="3"/>
        <v>#N/A</v>
      </c>
      <c r="R31" s="12"/>
      <c r="S31" s="12"/>
      <c r="T31" s="20"/>
      <c r="U31" s="12" t="e">
        <f t="shared" si="4"/>
        <v>#N/A</v>
      </c>
      <c r="V31" s="12"/>
      <c r="W31" s="21"/>
    </row>
    <row r="32" spans="1:23" x14ac:dyDescent="0.4">
      <c r="A32" s="20">
        <v>31</v>
      </c>
      <c r="B32" s="12" t="s">
        <v>95</v>
      </c>
      <c r="C32" s="12" t="s">
        <v>93</v>
      </c>
      <c r="D32" s="12">
        <v>2</v>
      </c>
      <c r="E32" s="12">
        <v>6</v>
      </c>
      <c r="F32" s="12">
        <f t="shared" si="0"/>
        <v>20</v>
      </c>
      <c r="G32" s="12">
        <v>1</v>
      </c>
      <c r="H32" s="20">
        <v>30</v>
      </c>
      <c r="I32" s="12" t="str">
        <f t="shared" si="1"/>
        <v>原油</v>
      </c>
      <c r="J32" s="12">
        <v>3</v>
      </c>
      <c r="K32" s="12">
        <f t="shared" si="5"/>
        <v>30</v>
      </c>
      <c r="L32" s="20"/>
      <c r="M32" s="12" t="e">
        <f t="shared" si="2"/>
        <v>#N/A</v>
      </c>
      <c r="N32" s="12"/>
      <c r="O32" s="21">
        <f t="shared" si="6"/>
        <v>0</v>
      </c>
      <c r="P32" s="12"/>
      <c r="Q32" s="12" t="e">
        <f t="shared" si="3"/>
        <v>#N/A</v>
      </c>
      <c r="R32" s="12"/>
      <c r="S32" s="12"/>
      <c r="T32" s="20"/>
      <c r="U32" s="12" t="e">
        <f t="shared" si="4"/>
        <v>#N/A</v>
      </c>
      <c r="V32" s="12"/>
      <c r="W32" s="21"/>
    </row>
    <row r="33" spans="1:23" x14ac:dyDescent="0.4">
      <c r="A33" s="20">
        <v>32</v>
      </c>
      <c r="B33" s="12" t="s">
        <v>97</v>
      </c>
      <c r="C33" s="12" t="s">
        <v>81</v>
      </c>
      <c r="D33" s="12">
        <v>1</v>
      </c>
      <c r="E33" s="12">
        <v>24</v>
      </c>
      <c r="F33" s="12">
        <f t="shared" si="0"/>
        <v>2.5</v>
      </c>
      <c r="G33" s="12">
        <v>4</v>
      </c>
      <c r="H33" s="20">
        <v>28</v>
      </c>
      <c r="I33" s="12" t="str">
        <f t="shared" si="1"/>
        <v>回路基板</v>
      </c>
      <c r="J33" s="12">
        <v>10</v>
      </c>
      <c r="K33" s="12">
        <f t="shared" si="5"/>
        <v>25</v>
      </c>
      <c r="L33" s="20">
        <v>13</v>
      </c>
      <c r="M33" s="12" t="str">
        <f t="shared" si="2"/>
        <v>ワイヤー</v>
      </c>
      <c r="N33" s="12">
        <v>9</v>
      </c>
      <c r="O33" s="21">
        <f t="shared" si="6"/>
        <v>22.5</v>
      </c>
      <c r="P33" s="12">
        <v>29</v>
      </c>
      <c r="Q33" s="12" t="str">
        <f t="shared" si="3"/>
        <v>プラスチック</v>
      </c>
      <c r="R33" s="12">
        <v>18</v>
      </c>
      <c r="S33" s="12">
        <f t="shared" ref="S33" si="9">R33*60/$E33</f>
        <v>45</v>
      </c>
      <c r="T33" s="20">
        <v>6</v>
      </c>
      <c r="U33" s="12" t="str">
        <f t="shared" si="4"/>
        <v>ネジ</v>
      </c>
      <c r="V33" s="12">
        <v>52</v>
      </c>
      <c r="W33" s="21">
        <f t="shared" ref="W33" si="10">V33*60/$E33</f>
        <v>130</v>
      </c>
    </row>
    <row r="34" spans="1:23" x14ac:dyDescent="0.4">
      <c r="A34" s="20">
        <v>33</v>
      </c>
      <c r="B34" s="12" t="s">
        <v>99</v>
      </c>
      <c r="C34" s="12" t="s">
        <v>81</v>
      </c>
      <c r="D34" s="12">
        <v>1</v>
      </c>
      <c r="E34" s="12">
        <v>60</v>
      </c>
      <c r="F34" s="12">
        <f t="shared" si="0"/>
        <v>1</v>
      </c>
      <c r="G34" s="12">
        <v>2</v>
      </c>
      <c r="H34" s="20">
        <v>18</v>
      </c>
      <c r="I34" s="12" t="str">
        <f t="shared" si="1"/>
        <v>モーター</v>
      </c>
      <c r="J34" s="12">
        <v>2</v>
      </c>
      <c r="K34" s="12">
        <f t="shared" si="5"/>
        <v>2</v>
      </c>
      <c r="L34" s="20">
        <v>31</v>
      </c>
      <c r="M34" s="12" t="str">
        <f t="shared" si="2"/>
        <v>ゴム</v>
      </c>
      <c r="N34" s="12">
        <v>15</v>
      </c>
      <c r="O34" s="21">
        <f t="shared" si="6"/>
        <v>15</v>
      </c>
      <c r="P34" s="12">
        <v>19</v>
      </c>
      <c r="Q34" s="12" t="str">
        <f t="shared" si="3"/>
        <v>スマートプレート</v>
      </c>
      <c r="R34" s="12">
        <v>2</v>
      </c>
      <c r="S34" s="12">
        <f t="shared" ref="S34:S35" si="11">R34*60/$E34</f>
        <v>2</v>
      </c>
      <c r="T34" s="20"/>
      <c r="U34" s="12" t="e">
        <f t="shared" si="4"/>
        <v>#N/A</v>
      </c>
      <c r="V34" s="12"/>
      <c r="W34" s="21"/>
    </row>
    <row r="35" spans="1:23" ht="19.5" thickBot="1" x14ac:dyDescent="0.45">
      <c r="A35" s="22">
        <v>34</v>
      </c>
      <c r="B35" s="23" t="s">
        <v>103</v>
      </c>
      <c r="C35" s="23" t="s">
        <v>81</v>
      </c>
      <c r="D35" s="23">
        <v>2</v>
      </c>
      <c r="E35" s="23">
        <v>120</v>
      </c>
      <c r="F35" s="23">
        <f t="shared" si="0"/>
        <v>1</v>
      </c>
      <c r="G35" s="23">
        <v>4</v>
      </c>
      <c r="H35" s="22">
        <v>21</v>
      </c>
      <c r="I35" s="23" t="str">
        <f t="shared" si="1"/>
        <v>自律ワイヤー</v>
      </c>
      <c r="J35" s="23">
        <v>15</v>
      </c>
      <c r="K35" s="23">
        <f t="shared" si="5"/>
        <v>7.5</v>
      </c>
      <c r="L35" s="22">
        <v>28</v>
      </c>
      <c r="M35" s="23" t="str">
        <f t="shared" si="2"/>
        <v>回路基板</v>
      </c>
      <c r="N35" s="23">
        <v>10</v>
      </c>
      <c r="O35" s="24">
        <f t="shared" si="6"/>
        <v>5</v>
      </c>
      <c r="P35" s="23">
        <v>27</v>
      </c>
      <c r="Q35" s="23" t="str">
        <f t="shared" si="3"/>
        <v>ヘビーモジュラーフレーム</v>
      </c>
      <c r="R35" s="23">
        <v>2</v>
      </c>
      <c r="S35" s="23">
        <f t="shared" si="11"/>
        <v>1</v>
      </c>
      <c r="T35" s="22">
        <v>32</v>
      </c>
      <c r="U35" s="23" t="str">
        <f t="shared" si="4"/>
        <v>コンピュータ</v>
      </c>
      <c r="V35" s="23">
        <v>2</v>
      </c>
      <c r="W35" s="24">
        <f t="shared" ref="W35" si="12">V35*60/$E35</f>
        <v>1</v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62BDCA-5A03-442B-91AF-6FD9915C5FF3}">
  <sheetPr codeName="Sheet8"/>
  <dimension ref="A1:J643"/>
  <sheetViews>
    <sheetView topLeftCell="A514" zoomScale="60" zoomScaleNormal="60" workbookViewId="0">
      <selection activeCell="E400" sqref="E400"/>
    </sheetView>
  </sheetViews>
  <sheetFormatPr defaultRowHeight="18.75" x14ac:dyDescent="0.4"/>
  <cols>
    <col min="1" max="11" width="14.625" customWidth="1"/>
  </cols>
  <sheetData>
    <row r="1" spans="1:4" ht="19.5" thickBot="1" x14ac:dyDescent="0.45">
      <c r="A1" s="14" t="s">
        <v>104</v>
      </c>
      <c r="B1" s="15">
        <v>30</v>
      </c>
      <c r="C1" s="16">
        <v>1</v>
      </c>
    </row>
    <row r="2" spans="1:4" ht="19.5" thickBot="1" x14ac:dyDescent="0.45">
      <c r="A2" s="13" t="s">
        <v>106</v>
      </c>
    </row>
    <row r="3" spans="1:4" ht="19.5" thickBot="1" x14ac:dyDescent="0.45">
      <c r="A3" s="13" t="s">
        <v>107</v>
      </c>
      <c r="B3" s="14" t="s">
        <v>105</v>
      </c>
      <c r="C3" s="15">
        <v>30</v>
      </c>
      <c r="D3" s="16">
        <v>0.5</v>
      </c>
    </row>
    <row r="5" spans="1:4" x14ac:dyDescent="0.4">
      <c r="A5" t="s">
        <v>108</v>
      </c>
    </row>
    <row r="6" spans="1:4" ht="19.5" thickBot="1" x14ac:dyDescent="0.45"/>
    <row r="7" spans="1:4" ht="19.5" thickBot="1" x14ac:dyDescent="0.45">
      <c r="A7" s="14" t="s">
        <v>109</v>
      </c>
      <c r="B7" s="15">
        <v>30</v>
      </c>
      <c r="C7" s="16">
        <v>1</v>
      </c>
    </row>
    <row r="8" spans="1:4" ht="19.5" thickBot="1" x14ac:dyDescent="0.45">
      <c r="A8" s="13" t="s">
        <v>106</v>
      </c>
    </row>
    <row r="9" spans="1:4" ht="19.5" thickBot="1" x14ac:dyDescent="0.45">
      <c r="A9" s="13" t="s">
        <v>107</v>
      </c>
      <c r="B9" s="14" t="s">
        <v>110</v>
      </c>
      <c r="C9" s="15">
        <v>30</v>
      </c>
      <c r="D9" s="16">
        <v>0.5</v>
      </c>
    </row>
    <row r="11" spans="1:4" x14ac:dyDescent="0.4">
      <c r="A11" t="s">
        <v>108</v>
      </c>
    </row>
    <row r="12" spans="1:4" ht="19.5" thickBot="1" x14ac:dyDescent="0.45"/>
    <row r="13" spans="1:4" ht="19.5" thickBot="1" x14ac:dyDescent="0.45">
      <c r="A13" s="14" t="s">
        <v>111</v>
      </c>
      <c r="B13" s="15">
        <v>45</v>
      </c>
      <c r="C13" s="16">
        <v>1</v>
      </c>
    </row>
    <row r="14" spans="1:4" ht="19.5" thickBot="1" x14ac:dyDescent="0.45">
      <c r="A14" s="13" t="s">
        <v>106</v>
      </c>
    </row>
    <row r="15" spans="1:4" ht="19.5" thickBot="1" x14ac:dyDescent="0.45">
      <c r="A15" s="13" t="s">
        <v>113</v>
      </c>
      <c r="B15" s="14" t="s">
        <v>112</v>
      </c>
      <c r="C15" s="15">
        <v>45</v>
      </c>
      <c r="D15" s="16">
        <v>0.75</v>
      </c>
    </row>
    <row r="16" spans="1:4" ht="19.5" thickBot="1" x14ac:dyDescent="0.45">
      <c r="A16" s="13" t="s">
        <v>78</v>
      </c>
    </row>
    <row r="17" spans="1:5" ht="19.5" thickBot="1" x14ac:dyDescent="0.45">
      <c r="A17" s="13" t="s">
        <v>107</v>
      </c>
      <c r="B17" s="14" t="s">
        <v>105</v>
      </c>
      <c r="C17" s="15">
        <v>45</v>
      </c>
      <c r="D17" s="16">
        <v>0.75</v>
      </c>
    </row>
    <row r="19" spans="1:5" x14ac:dyDescent="0.4">
      <c r="A19" t="s">
        <v>108</v>
      </c>
    </row>
    <row r="20" spans="1:5" ht="19.5" thickBot="1" x14ac:dyDescent="0.45"/>
    <row r="21" spans="1:5" ht="19.5" thickBot="1" x14ac:dyDescent="0.45">
      <c r="A21" s="14" t="s">
        <v>114</v>
      </c>
      <c r="B21" s="15">
        <v>15</v>
      </c>
      <c r="C21" s="16">
        <v>1</v>
      </c>
    </row>
    <row r="22" spans="1:5" ht="19.5" thickBot="1" x14ac:dyDescent="0.45">
      <c r="A22" s="13" t="s">
        <v>106</v>
      </c>
    </row>
    <row r="23" spans="1:5" ht="19.5" thickBot="1" x14ac:dyDescent="0.45">
      <c r="A23" s="13" t="s">
        <v>107</v>
      </c>
      <c r="B23" s="14" t="s">
        <v>104</v>
      </c>
      <c r="C23" s="15">
        <v>15</v>
      </c>
      <c r="D23" s="16">
        <v>0.5</v>
      </c>
    </row>
    <row r="24" spans="1:5" ht="19.5" thickBot="1" x14ac:dyDescent="0.45">
      <c r="B24" s="13" t="s">
        <v>106</v>
      </c>
    </row>
    <row r="25" spans="1:5" ht="19.5" thickBot="1" x14ac:dyDescent="0.45">
      <c r="B25" s="13" t="s">
        <v>107</v>
      </c>
      <c r="C25" s="14" t="s">
        <v>105</v>
      </c>
      <c r="D25" s="15">
        <v>15</v>
      </c>
      <c r="E25" s="16">
        <v>0.25</v>
      </c>
    </row>
    <row r="27" spans="1:5" x14ac:dyDescent="0.4">
      <c r="A27" t="s">
        <v>108</v>
      </c>
    </row>
    <row r="28" spans="1:5" ht="19.5" thickBot="1" x14ac:dyDescent="0.45"/>
    <row r="29" spans="1:5" ht="19.5" thickBot="1" x14ac:dyDescent="0.45">
      <c r="A29" s="14" t="s">
        <v>115</v>
      </c>
      <c r="B29" s="15">
        <v>20</v>
      </c>
      <c r="C29" s="16">
        <v>1</v>
      </c>
    </row>
    <row r="30" spans="1:5" ht="19.5" thickBot="1" x14ac:dyDescent="0.45">
      <c r="A30" s="13" t="s">
        <v>106</v>
      </c>
    </row>
    <row r="31" spans="1:5" ht="19.5" thickBot="1" x14ac:dyDescent="0.45">
      <c r="A31" s="13" t="s">
        <v>107</v>
      </c>
      <c r="B31" s="14" t="s">
        <v>104</v>
      </c>
      <c r="C31" s="15">
        <v>30</v>
      </c>
      <c r="D31" s="16">
        <v>1</v>
      </c>
    </row>
    <row r="32" spans="1:5" ht="19.5" thickBot="1" x14ac:dyDescent="0.45">
      <c r="B32" s="13" t="s">
        <v>106</v>
      </c>
    </row>
    <row r="33" spans="1:6" ht="19.5" thickBot="1" x14ac:dyDescent="0.45">
      <c r="B33" s="13" t="s">
        <v>107</v>
      </c>
      <c r="C33" s="14" t="s">
        <v>105</v>
      </c>
      <c r="D33" s="15">
        <v>30</v>
      </c>
      <c r="E33" s="16">
        <v>0.5</v>
      </c>
    </row>
    <row r="35" spans="1:6" x14ac:dyDescent="0.4">
      <c r="A35" t="s">
        <v>108</v>
      </c>
    </row>
    <row r="36" spans="1:6" ht="19.5" thickBot="1" x14ac:dyDescent="0.45"/>
    <row r="37" spans="1:6" ht="19.5" thickBot="1" x14ac:dyDescent="0.45">
      <c r="A37" s="14" t="s">
        <v>84</v>
      </c>
      <c r="B37" s="15">
        <v>40</v>
      </c>
      <c r="C37" s="16">
        <v>1</v>
      </c>
    </row>
    <row r="38" spans="1:6" ht="19.5" thickBot="1" x14ac:dyDescent="0.45">
      <c r="A38" s="13" t="s">
        <v>106</v>
      </c>
    </row>
    <row r="39" spans="1:6" ht="19.5" thickBot="1" x14ac:dyDescent="0.45">
      <c r="A39" s="13" t="s">
        <v>107</v>
      </c>
      <c r="B39" s="14" t="s">
        <v>114</v>
      </c>
      <c r="C39" s="15">
        <v>10</v>
      </c>
      <c r="D39" s="16">
        <v>0.66666666666666663</v>
      </c>
    </row>
    <row r="40" spans="1:6" ht="19.5" thickBot="1" x14ac:dyDescent="0.45">
      <c r="B40" s="13" t="s">
        <v>106</v>
      </c>
    </row>
    <row r="41" spans="1:6" ht="19.5" thickBot="1" x14ac:dyDescent="0.45">
      <c r="B41" s="13" t="s">
        <v>107</v>
      </c>
      <c r="C41" s="14" t="s">
        <v>104</v>
      </c>
      <c r="D41" s="15">
        <v>10</v>
      </c>
      <c r="E41" s="16">
        <v>0.33333333333333331</v>
      </c>
    </row>
    <row r="42" spans="1:6" ht="19.5" thickBot="1" x14ac:dyDescent="0.45">
      <c r="C42" s="13" t="s">
        <v>106</v>
      </c>
    </row>
    <row r="43" spans="1:6" ht="19.5" thickBot="1" x14ac:dyDescent="0.45">
      <c r="C43" s="13" t="s">
        <v>107</v>
      </c>
      <c r="D43" s="14" t="s">
        <v>105</v>
      </c>
      <c r="E43" s="15">
        <v>10</v>
      </c>
      <c r="F43" s="16">
        <v>0.16666666666666666</v>
      </c>
    </row>
    <row r="45" spans="1:6" x14ac:dyDescent="0.4">
      <c r="A45" t="s">
        <v>108</v>
      </c>
    </row>
    <row r="46" spans="1:6" ht="19.5" thickBot="1" x14ac:dyDescent="0.45"/>
    <row r="47" spans="1:6" ht="19.5" thickBot="1" x14ac:dyDescent="0.45">
      <c r="A47" s="14" t="s">
        <v>116</v>
      </c>
      <c r="B47" s="15">
        <v>4</v>
      </c>
      <c r="C47" s="16">
        <v>1</v>
      </c>
    </row>
    <row r="48" spans="1:6" ht="19.5" thickBot="1" x14ac:dyDescent="0.45">
      <c r="A48" s="13" t="s">
        <v>106</v>
      </c>
    </row>
    <row r="49" spans="1:7" ht="19.5" thickBot="1" x14ac:dyDescent="0.45">
      <c r="A49" s="13" t="s">
        <v>113</v>
      </c>
      <c r="B49" s="14" t="s">
        <v>114</v>
      </c>
      <c r="C49" s="15">
        <v>20</v>
      </c>
      <c r="D49" s="16">
        <v>1.3333333333333333</v>
      </c>
    </row>
    <row r="50" spans="1:7" ht="19.5" thickBot="1" x14ac:dyDescent="0.45">
      <c r="A50" s="13" t="s">
        <v>106</v>
      </c>
      <c r="B50" s="13" t="s">
        <v>106</v>
      </c>
    </row>
    <row r="51" spans="1:7" ht="19.5" thickBot="1" x14ac:dyDescent="0.45">
      <c r="A51" s="13" t="s">
        <v>106</v>
      </c>
      <c r="B51" s="13" t="s">
        <v>107</v>
      </c>
      <c r="C51" s="14" t="s">
        <v>104</v>
      </c>
      <c r="D51" s="15">
        <v>20</v>
      </c>
      <c r="E51" s="16">
        <v>0.66666666666666663</v>
      </c>
    </row>
    <row r="52" spans="1:7" ht="19.5" thickBot="1" x14ac:dyDescent="0.45">
      <c r="A52" s="13" t="s">
        <v>106</v>
      </c>
      <c r="C52" s="13" t="s">
        <v>106</v>
      </c>
    </row>
    <row r="53" spans="1:7" ht="19.5" thickBot="1" x14ac:dyDescent="0.45">
      <c r="A53" s="13" t="s">
        <v>106</v>
      </c>
      <c r="C53" s="13" t="s">
        <v>107</v>
      </c>
      <c r="D53" s="14" t="s">
        <v>105</v>
      </c>
      <c r="E53" s="15">
        <v>20</v>
      </c>
      <c r="F53" s="16">
        <v>0.33333333333333331</v>
      </c>
    </row>
    <row r="54" spans="1:7" ht="19.5" thickBot="1" x14ac:dyDescent="0.45">
      <c r="A54" s="13" t="s">
        <v>78</v>
      </c>
    </row>
    <row r="55" spans="1:7" ht="19.5" thickBot="1" x14ac:dyDescent="0.45">
      <c r="A55" s="13" t="s">
        <v>107</v>
      </c>
      <c r="B55" s="14" t="s">
        <v>84</v>
      </c>
      <c r="C55" s="15">
        <v>100</v>
      </c>
      <c r="D55" s="16">
        <v>2.5</v>
      </c>
    </row>
    <row r="56" spans="1:7" ht="19.5" thickBot="1" x14ac:dyDescent="0.45">
      <c r="B56" s="13" t="s">
        <v>106</v>
      </c>
    </row>
    <row r="57" spans="1:7" ht="19.5" thickBot="1" x14ac:dyDescent="0.45">
      <c r="B57" s="13" t="s">
        <v>107</v>
      </c>
      <c r="C57" s="14" t="s">
        <v>114</v>
      </c>
      <c r="D57" s="15">
        <v>25</v>
      </c>
      <c r="E57" s="16">
        <v>1.6666666666666667</v>
      </c>
    </row>
    <row r="58" spans="1:7" ht="19.5" thickBot="1" x14ac:dyDescent="0.45">
      <c r="C58" s="13" t="s">
        <v>106</v>
      </c>
    </row>
    <row r="59" spans="1:7" ht="19.5" thickBot="1" x14ac:dyDescent="0.45">
      <c r="C59" s="13" t="s">
        <v>107</v>
      </c>
      <c r="D59" s="14" t="s">
        <v>104</v>
      </c>
      <c r="E59" s="15">
        <v>25</v>
      </c>
      <c r="F59" s="16">
        <v>0.83333333333333337</v>
      </c>
    </row>
    <row r="60" spans="1:7" ht="19.5" thickBot="1" x14ac:dyDescent="0.45">
      <c r="D60" s="13" t="s">
        <v>106</v>
      </c>
    </row>
    <row r="61" spans="1:7" ht="19.5" thickBot="1" x14ac:dyDescent="0.45">
      <c r="D61" s="13" t="s">
        <v>107</v>
      </c>
      <c r="E61" s="14" t="s">
        <v>105</v>
      </c>
      <c r="F61" s="15">
        <v>25</v>
      </c>
      <c r="G61" s="16">
        <v>0.41666666666666669</v>
      </c>
    </row>
    <row r="63" spans="1:7" x14ac:dyDescent="0.4">
      <c r="A63" t="s">
        <v>108</v>
      </c>
    </row>
    <row r="64" spans="1:7" ht="19.5" thickBot="1" x14ac:dyDescent="0.45"/>
    <row r="65" spans="1:7" ht="19.5" thickBot="1" x14ac:dyDescent="0.45">
      <c r="A65" s="14" t="s">
        <v>117</v>
      </c>
      <c r="B65" s="15">
        <v>5</v>
      </c>
      <c r="C65" s="16">
        <v>1</v>
      </c>
    </row>
    <row r="66" spans="1:7" ht="19.5" thickBot="1" x14ac:dyDescent="0.45">
      <c r="A66" s="13" t="s">
        <v>106</v>
      </c>
    </row>
    <row r="67" spans="1:7" ht="19.5" thickBot="1" x14ac:dyDescent="0.45">
      <c r="A67" s="13" t="s">
        <v>113</v>
      </c>
      <c r="B67" s="14" t="s">
        <v>115</v>
      </c>
      <c r="C67" s="15">
        <v>30</v>
      </c>
      <c r="D67" s="16">
        <v>1.5</v>
      </c>
    </row>
    <row r="68" spans="1:7" ht="19.5" thickBot="1" x14ac:dyDescent="0.45">
      <c r="A68" s="13" t="s">
        <v>106</v>
      </c>
      <c r="B68" s="13" t="s">
        <v>106</v>
      </c>
    </row>
    <row r="69" spans="1:7" ht="19.5" thickBot="1" x14ac:dyDescent="0.45">
      <c r="A69" s="13" t="s">
        <v>106</v>
      </c>
      <c r="B69" s="13" t="s">
        <v>107</v>
      </c>
      <c r="C69" s="14" t="s">
        <v>104</v>
      </c>
      <c r="D69" s="15">
        <v>45</v>
      </c>
      <c r="E69" s="16">
        <v>1.5</v>
      </c>
    </row>
    <row r="70" spans="1:7" ht="19.5" thickBot="1" x14ac:dyDescent="0.45">
      <c r="A70" s="13" t="s">
        <v>106</v>
      </c>
      <c r="C70" s="13" t="s">
        <v>106</v>
      </c>
    </row>
    <row r="71" spans="1:7" ht="19.5" thickBot="1" x14ac:dyDescent="0.45">
      <c r="A71" s="13" t="s">
        <v>106</v>
      </c>
      <c r="C71" s="13" t="s">
        <v>107</v>
      </c>
      <c r="D71" s="14" t="s">
        <v>105</v>
      </c>
      <c r="E71" s="15">
        <v>45</v>
      </c>
      <c r="F71" s="16">
        <v>0.75</v>
      </c>
    </row>
    <row r="72" spans="1:7" ht="19.5" thickBot="1" x14ac:dyDescent="0.45">
      <c r="A72" s="13" t="s">
        <v>78</v>
      </c>
    </row>
    <row r="73" spans="1:7" ht="19.5" thickBot="1" x14ac:dyDescent="0.45">
      <c r="A73" s="13" t="s">
        <v>107</v>
      </c>
      <c r="B73" s="14" t="s">
        <v>84</v>
      </c>
      <c r="C73" s="15">
        <v>60</v>
      </c>
      <c r="D73" s="16">
        <v>1.5</v>
      </c>
    </row>
    <row r="74" spans="1:7" ht="19.5" thickBot="1" x14ac:dyDescent="0.45">
      <c r="B74" s="13" t="s">
        <v>106</v>
      </c>
    </row>
    <row r="75" spans="1:7" ht="19.5" thickBot="1" x14ac:dyDescent="0.45">
      <c r="B75" s="13" t="s">
        <v>107</v>
      </c>
      <c r="C75" s="14" t="s">
        <v>114</v>
      </c>
      <c r="D75" s="15">
        <v>15</v>
      </c>
      <c r="E75" s="16">
        <v>1</v>
      </c>
    </row>
    <row r="76" spans="1:7" ht="19.5" thickBot="1" x14ac:dyDescent="0.45">
      <c r="C76" s="13" t="s">
        <v>106</v>
      </c>
    </row>
    <row r="77" spans="1:7" ht="19.5" thickBot="1" x14ac:dyDescent="0.45">
      <c r="C77" s="13" t="s">
        <v>107</v>
      </c>
      <c r="D77" s="14" t="s">
        <v>104</v>
      </c>
      <c r="E77" s="15">
        <v>15</v>
      </c>
      <c r="F77" s="16">
        <v>0.5</v>
      </c>
    </row>
    <row r="78" spans="1:7" ht="19.5" thickBot="1" x14ac:dyDescent="0.45">
      <c r="D78" s="13" t="s">
        <v>106</v>
      </c>
    </row>
    <row r="79" spans="1:7" ht="19.5" thickBot="1" x14ac:dyDescent="0.45">
      <c r="D79" s="13" t="s">
        <v>107</v>
      </c>
      <c r="E79" s="14" t="s">
        <v>105</v>
      </c>
      <c r="F79" s="15">
        <v>15</v>
      </c>
      <c r="G79" s="16">
        <v>0.25</v>
      </c>
    </row>
    <row r="81" spans="1:7" x14ac:dyDescent="0.4">
      <c r="A81" t="s">
        <v>108</v>
      </c>
    </row>
    <row r="82" spans="1:7" ht="19.5" thickBot="1" x14ac:dyDescent="0.45"/>
    <row r="83" spans="1:7" ht="19.5" thickBot="1" x14ac:dyDescent="0.45">
      <c r="A83" s="14" t="s">
        <v>83</v>
      </c>
      <c r="B83" s="15">
        <v>2</v>
      </c>
      <c r="C83" s="16">
        <v>1</v>
      </c>
    </row>
    <row r="84" spans="1:7" ht="19.5" thickBot="1" x14ac:dyDescent="0.45">
      <c r="A84" s="13" t="s">
        <v>106</v>
      </c>
    </row>
    <row r="85" spans="1:7" ht="19.5" thickBot="1" x14ac:dyDescent="0.45">
      <c r="A85" s="13" t="s">
        <v>113</v>
      </c>
      <c r="B85" s="14" t="s">
        <v>117</v>
      </c>
      <c r="C85" s="15">
        <v>3</v>
      </c>
      <c r="D85" s="16">
        <v>0.6</v>
      </c>
    </row>
    <row r="86" spans="1:7" ht="19.5" thickBot="1" x14ac:dyDescent="0.45">
      <c r="A86" s="13" t="s">
        <v>106</v>
      </c>
      <c r="B86" s="13" t="s">
        <v>106</v>
      </c>
    </row>
    <row r="87" spans="1:7" ht="19.5" thickBot="1" x14ac:dyDescent="0.45">
      <c r="A87" s="13" t="s">
        <v>106</v>
      </c>
      <c r="B87" s="13" t="s">
        <v>113</v>
      </c>
      <c r="C87" s="14" t="s">
        <v>115</v>
      </c>
      <c r="D87" s="15">
        <v>18</v>
      </c>
      <c r="E87" s="16">
        <v>0.9</v>
      </c>
    </row>
    <row r="88" spans="1:7" ht="19.5" thickBot="1" x14ac:dyDescent="0.45">
      <c r="A88" s="13" t="s">
        <v>106</v>
      </c>
      <c r="B88" s="13" t="s">
        <v>106</v>
      </c>
      <c r="C88" s="13" t="s">
        <v>106</v>
      </c>
    </row>
    <row r="89" spans="1:7" ht="19.5" thickBot="1" x14ac:dyDescent="0.45">
      <c r="A89" s="13" t="s">
        <v>106</v>
      </c>
      <c r="B89" s="13" t="s">
        <v>106</v>
      </c>
      <c r="C89" s="13" t="s">
        <v>107</v>
      </c>
      <c r="D89" s="14" t="s">
        <v>104</v>
      </c>
      <c r="E89" s="15">
        <v>27</v>
      </c>
      <c r="F89" s="16">
        <v>0.9</v>
      </c>
    </row>
    <row r="90" spans="1:7" ht="19.5" thickBot="1" x14ac:dyDescent="0.45">
      <c r="A90" s="13" t="s">
        <v>106</v>
      </c>
      <c r="B90" s="13" t="s">
        <v>106</v>
      </c>
      <c r="D90" s="13" t="s">
        <v>106</v>
      </c>
    </row>
    <row r="91" spans="1:7" ht="19.5" thickBot="1" x14ac:dyDescent="0.45">
      <c r="A91" s="13" t="s">
        <v>106</v>
      </c>
      <c r="B91" s="13" t="s">
        <v>106</v>
      </c>
      <c r="D91" s="13" t="s">
        <v>107</v>
      </c>
      <c r="E91" s="14" t="s">
        <v>105</v>
      </c>
      <c r="F91" s="15">
        <v>27</v>
      </c>
      <c r="G91" s="16">
        <v>0.45</v>
      </c>
    </row>
    <row r="92" spans="1:7" ht="19.5" thickBot="1" x14ac:dyDescent="0.45">
      <c r="A92" s="13" t="s">
        <v>106</v>
      </c>
      <c r="B92" s="13" t="s">
        <v>78</v>
      </c>
    </row>
    <row r="93" spans="1:7" ht="19.5" thickBot="1" x14ac:dyDescent="0.45">
      <c r="A93" s="13" t="s">
        <v>106</v>
      </c>
      <c r="B93" s="13" t="s">
        <v>107</v>
      </c>
      <c r="C93" s="14" t="s">
        <v>84</v>
      </c>
      <c r="D93" s="15">
        <v>36</v>
      </c>
      <c r="E93" s="16">
        <v>0.9</v>
      </c>
    </row>
    <row r="94" spans="1:7" ht="19.5" thickBot="1" x14ac:dyDescent="0.45">
      <c r="A94" s="13" t="s">
        <v>106</v>
      </c>
      <c r="C94" s="13" t="s">
        <v>106</v>
      </c>
    </row>
    <row r="95" spans="1:7" ht="19.5" thickBot="1" x14ac:dyDescent="0.45">
      <c r="A95" s="13" t="s">
        <v>106</v>
      </c>
      <c r="C95" s="13" t="s">
        <v>107</v>
      </c>
      <c r="D95" s="14" t="s">
        <v>114</v>
      </c>
      <c r="E95" s="15">
        <v>9</v>
      </c>
      <c r="F95" s="16">
        <v>0.6</v>
      </c>
    </row>
    <row r="96" spans="1:7" ht="19.5" thickBot="1" x14ac:dyDescent="0.45">
      <c r="A96" s="13" t="s">
        <v>106</v>
      </c>
      <c r="D96" s="13" t="s">
        <v>106</v>
      </c>
    </row>
    <row r="97" spans="1:8" ht="19.5" thickBot="1" x14ac:dyDescent="0.45">
      <c r="A97" s="13" t="s">
        <v>106</v>
      </c>
      <c r="D97" s="13" t="s">
        <v>107</v>
      </c>
      <c r="E97" s="14" t="s">
        <v>104</v>
      </c>
      <c r="F97" s="15">
        <v>9</v>
      </c>
      <c r="G97" s="16">
        <v>0.3</v>
      </c>
    </row>
    <row r="98" spans="1:8" ht="19.5" thickBot="1" x14ac:dyDescent="0.45">
      <c r="A98" s="13" t="s">
        <v>106</v>
      </c>
      <c r="E98" s="13" t="s">
        <v>106</v>
      </c>
    </row>
    <row r="99" spans="1:8" ht="19.5" thickBot="1" x14ac:dyDescent="0.45">
      <c r="A99" s="13" t="s">
        <v>106</v>
      </c>
      <c r="E99" s="13" t="s">
        <v>107</v>
      </c>
      <c r="F99" s="14" t="s">
        <v>105</v>
      </c>
      <c r="G99" s="15">
        <v>9</v>
      </c>
      <c r="H99" s="16">
        <v>0.15</v>
      </c>
    </row>
    <row r="100" spans="1:8" ht="19.5" thickBot="1" x14ac:dyDescent="0.45">
      <c r="A100" s="13" t="s">
        <v>78</v>
      </c>
    </row>
    <row r="101" spans="1:8" ht="19.5" thickBot="1" x14ac:dyDescent="0.45">
      <c r="A101" s="13" t="s">
        <v>107</v>
      </c>
      <c r="B101" s="14" t="s">
        <v>114</v>
      </c>
      <c r="C101" s="15">
        <v>12</v>
      </c>
      <c r="D101" s="16">
        <v>0.8</v>
      </c>
    </row>
    <row r="102" spans="1:8" ht="19.5" thickBot="1" x14ac:dyDescent="0.45">
      <c r="B102" s="13" t="s">
        <v>106</v>
      </c>
    </row>
    <row r="103" spans="1:8" ht="19.5" thickBot="1" x14ac:dyDescent="0.45">
      <c r="B103" s="13" t="s">
        <v>107</v>
      </c>
      <c r="C103" s="14" t="s">
        <v>104</v>
      </c>
      <c r="D103" s="15">
        <v>12</v>
      </c>
      <c r="E103" s="16">
        <v>0.4</v>
      </c>
    </row>
    <row r="104" spans="1:8" ht="19.5" thickBot="1" x14ac:dyDescent="0.45">
      <c r="C104" s="13" t="s">
        <v>106</v>
      </c>
    </row>
    <row r="105" spans="1:8" ht="19.5" thickBot="1" x14ac:dyDescent="0.45">
      <c r="C105" s="13" t="s">
        <v>107</v>
      </c>
      <c r="D105" s="14" t="s">
        <v>105</v>
      </c>
      <c r="E105" s="15">
        <v>12</v>
      </c>
      <c r="F105" s="16">
        <v>0.2</v>
      </c>
    </row>
    <row r="107" spans="1:8" x14ac:dyDescent="0.4">
      <c r="A107" t="s">
        <v>108</v>
      </c>
    </row>
    <row r="108" spans="1:8" ht="19.5" thickBot="1" x14ac:dyDescent="0.45"/>
    <row r="109" spans="1:8" ht="19.5" thickBot="1" x14ac:dyDescent="0.45">
      <c r="A109" s="14" t="s">
        <v>118</v>
      </c>
      <c r="B109" s="15">
        <v>10</v>
      </c>
      <c r="C109" s="16">
        <v>1</v>
      </c>
    </row>
    <row r="110" spans="1:8" ht="19.5" thickBot="1" x14ac:dyDescent="0.45">
      <c r="A110" s="13" t="s">
        <v>106</v>
      </c>
    </row>
    <row r="111" spans="1:8" ht="19.5" thickBot="1" x14ac:dyDescent="0.45">
      <c r="A111" s="13" t="s">
        <v>107</v>
      </c>
      <c r="B111" s="14" t="s">
        <v>109</v>
      </c>
      <c r="C111" s="15">
        <v>20</v>
      </c>
      <c r="D111" s="16">
        <v>0.66666666666666663</v>
      </c>
    </row>
    <row r="112" spans="1:8" ht="19.5" thickBot="1" x14ac:dyDescent="0.45">
      <c r="B112" s="13" t="s">
        <v>106</v>
      </c>
    </row>
    <row r="113" spans="1:5" ht="19.5" thickBot="1" x14ac:dyDescent="0.45">
      <c r="B113" s="13" t="s">
        <v>107</v>
      </c>
      <c r="C113" s="14" t="s">
        <v>110</v>
      </c>
      <c r="D113" s="15">
        <v>20</v>
      </c>
      <c r="E113" s="16">
        <v>0.33333333333333331</v>
      </c>
    </row>
    <row r="115" spans="1:5" x14ac:dyDescent="0.4">
      <c r="A115" t="s">
        <v>108</v>
      </c>
    </row>
    <row r="116" spans="1:5" ht="19.5" thickBot="1" x14ac:dyDescent="0.45"/>
    <row r="117" spans="1:5" ht="19.5" thickBot="1" x14ac:dyDescent="0.45">
      <c r="A117" s="14" t="s">
        <v>119</v>
      </c>
      <c r="B117" s="15">
        <v>15</v>
      </c>
      <c r="C117" s="16">
        <v>1</v>
      </c>
    </row>
    <row r="118" spans="1:5" ht="19.5" thickBot="1" x14ac:dyDescent="0.45">
      <c r="A118" s="13" t="s">
        <v>106</v>
      </c>
    </row>
    <row r="119" spans="1:5" ht="19.5" thickBot="1" x14ac:dyDescent="0.45">
      <c r="A119" s="13" t="s">
        <v>107</v>
      </c>
      <c r="B119" s="14" t="s">
        <v>111</v>
      </c>
      <c r="C119" s="15">
        <v>60</v>
      </c>
      <c r="D119" s="16">
        <v>1.3333333333333333</v>
      </c>
    </row>
    <row r="120" spans="1:5" ht="19.5" thickBot="1" x14ac:dyDescent="0.45">
      <c r="B120" s="13" t="s">
        <v>106</v>
      </c>
    </row>
    <row r="121" spans="1:5" ht="19.5" thickBot="1" x14ac:dyDescent="0.45">
      <c r="B121" s="13" t="s">
        <v>113</v>
      </c>
      <c r="C121" s="14" t="s">
        <v>112</v>
      </c>
      <c r="D121" s="15">
        <v>60</v>
      </c>
      <c r="E121" s="16">
        <v>1</v>
      </c>
    </row>
    <row r="122" spans="1:5" ht="19.5" thickBot="1" x14ac:dyDescent="0.45">
      <c r="B122" s="13" t="s">
        <v>78</v>
      </c>
    </row>
    <row r="123" spans="1:5" ht="19.5" thickBot="1" x14ac:dyDescent="0.45">
      <c r="B123" s="13" t="s">
        <v>107</v>
      </c>
      <c r="C123" s="14" t="s">
        <v>105</v>
      </c>
      <c r="D123" s="15">
        <v>60</v>
      </c>
      <c r="E123" s="16">
        <v>1</v>
      </c>
    </row>
    <row r="125" spans="1:5" x14ac:dyDescent="0.4">
      <c r="A125" t="s">
        <v>108</v>
      </c>
    </row>
    <row r="126" spans="1:5" ht="19.5" thickBot="1" x14ac:dyDescent="0.45"/>
    <row r="127" spans="1:5" ht="19.5" thickBot="1" x14ac:dyDescent="0.45">
      <c r="A127" s="14" t="s">
        <v>120</v>
      </c>
      <c r="B127" s="15">
        <v>20</v>
      </c>
      <c r="C127" s="16">
        <v>1</v>
      </c>
    </row>
    <row r="128" spans="1:5" ht="19.5" thickBot="1" x14ac:dyDescent="0.45">
      <c r="A128" s="13" t="s">
        <v>106</v>
      </c>
    </row>
    <row r="129" spans="1:5" ht="19.5" thickBot="1" x14ac:dyDescent="0.45">
      <c r="A129" s="13" t="s">
        <v>107</v>
      </c>
      <c r="B129" s="14" t="s">
        <v>111</v>
      </c>
      <c r="C129" s="15">
        <v>30</v>
      </c>
      <c r="D129" s="16">
        <v>0.66666666666666663</v>
      </c>
    </row>
    <row r="130" spans="1:5" ht="19.5" thickBot="1" x14ac:dyDescent="0.45">
      <c r="B130" s="13" t="s">
        <v>106</v>
      </c>
    </row>
    <row r="131" spans="1:5" ht="19.5" thickBot="1" x14ac:dyDescent="0.45">
      <c r="B131" s="13" t="s">
        <v>113</v>
      </c>
      <c r="C131" s="14" t="s">
        <v>112</v>
      </c>
      <c r="D131" s="15">
        <v>30</v>
      </c>
      <c r="E131" s="16">
        <v>0.5</v>
      </c>
    </row>
    <row r="132" spans="1:5" ht="19.5" thickBot="1" x14ac:dyDescent="0.45">
      <c r="B132" s="13" t="s">
        <v>78</v>
      </c>
    </row>
    <row r="133" spans="1:5" ht="19.5" thickBot="1" x14ac:dyDescent="0.45">
      <c r="B133" s="13" t="s">
        <v>107</v>
      </c>
      <c r="C133" s="14" t="s">
        <v>105</v>
      </c>
      <c r="D133" s="15">
        <v>30</v>
      </c>
      <c r="E133" s="16">
        <v>0.5</v>
      </c>
    </row>
    <row r="135" spans="1:5" x14ac:dyDescent="0.4">
      <c r="A135" t="s">
        <v>108</v>
      </c>
    </row>
    <row r="136" spans="1:5" ht="19.5" thickBot="1" x14ac:dyDescent="0.45"/>
    <row r="137" spans="1:5" ht="19.5" thickBot="1" x14ac:dyDescent="0.45">
      <c r="A137" s="14" t="s">
        <v>121</v>
      </c>
      <c r="B137" s="15">
        <v>30</v>
      </c>
      <c r="C137" s="16">
        <v>1</v>
      </c>
    </row>
    <row r="138" spans="1:5" ht="19.5" thickBot="1" x14ac:dyDescent="0.45">
      <c r="A138" s="13" t="s">
        <v>106</v>
      </c>
    </row>
    <row r="139" spans="1:5" ht="19.5" thickBot="1" x14ac:dyDescent="0.45">
      <c r="A139" s="13" t="s">
        <v>107</v>
      </c>
      <c r="B139" s="14" t="s">
        <v>109</v>
      </c>
      <c r="C139" s="15">
        <v>15</v>
      </c>
      <c r="D139" s="16">
        <v>0.5</v>
      </c>
    </row>
    <row r="140" spans="1:5" ht="19.5" thickBot="1" x14ac:dyDescent="0.45">
      <c r="B140" s="13" t="s">
        <v>106</v>
      </c>
    </row>
    <row r="141" spans="1:5" ht="19.5" thickBot="1" x14ac:dyDescent="0.45">
      <c r="B141" s="13" t="s">
        <v>107</v>
      </c>
      <c r="C141" s="14" t="s">
        <v>110</v>
      </c>
      <c r="D141" s="15">
        <v>15</v>
      </c>
      <c r="E141" s="16">
        <v>0.25</v>
      </c>
    </row>
    <row r="143" spans="1:5" x14ac:dyDescent="0.4">
      <c r="A143" t="s">
        <v>108</v>
      </c>
    </row>
    <row r="144" spans="1:5" ht="19.5" thickBot="1" x14ac:dyDescent="0.45"/>
    <row r="145" spans="1:6" ht="19.5" thickBot="1" x14ac:dyDescent="0.45">
      <c r="A145" s="14" t="s">
        <v>122</v>
      </c>
      <c r="B145" s="15">
        <v>30</v>
      </c>
      <c r="C145" s="16">
        <v>1</v>
      </c>
    </row>
    <row r="146" spans="1:6" ht="19.5" thickBot="1" x14ac:dyDescent="0.45">
      <c r="A146" s="13" t="s">
        <v>106</v>
      </c>
    </row>
    <row r="147" spans="1:6" ht="19.5" thickBot="1" x14ac:dyDescent="0.45">
      <c r="A147" s="13" t="s">
        <v>107</v>
      </c>
      <c r="B147" s="14" t="s">
        <v>121</v>
      </c>
      <c r="C147" s="15">
        <v>60</v>
      </c>
      <c r="D147" s="16">
        <v>2</v>
      </c>
    </row>
    <row r="148" spans="1:6" ht="19.5" thickBot="1" x14ac:dyDescent="0.45">
      <c r="B148" s="13" t="s">
        <v>106</v>
      </c>
    </row>
    <row r="149" spans="1:6" ht="19.5" thickBot="1" x14ac:dyDescent="0.45">
      <c r="B149" s="13" t="s">
        <v>107</v>
      </c>
      <c r="C149" s="14" t="s">
        <v>109</v>
      </c>
      <c r="D149" s="15">
        <v>30</v>
      </c>
      <c r="E149" s="16">
        <v>1</v>
      </c>
    </row>
    <row r="150" spans="1:6" ht="19.5" thickBot="1" x14ac:dyDescent="0.45">
      <c r="C150" s="13" t="s">
        <v>106</v>
      </c>
    </row>
    <row r="151" spans="1:6" ht="19.5" thickBot="1" x14ac:dyDescent="0.45">
      <c r="C151" s="13" t="s">
        <v>107</v>
      </c>
      <c r="D151" s="14" t="s">
        <v>110</v>
      </c>
      <c r="E151" s="15">
        <v>30</v>
      </c>
      <c r="F151" s="16">
        <v>0.5</v>
      </c>
    </row>
    <row r="153" spans="1:6" x14ac:dyDescent="0.4">
      <c r="A153" t="s">
        <v>108</v>
      </c>
    </row>
    <row r="154" spans="1:6" ht="19.5" thickBot="1" x14ac:dyDescent="0.45"/>
    <row r="155" spans="1:6" ht="19.5" thickBot="1" x14ac:dyDescent="0.45">
      <c r="A155" s="14" t="s">
        <v>123</v>
      </c>
      <c r="B155" s="15">
        <v>15</v>
      </c>
      <c r="C155" s="16">
        <v>1</v>
      </c>
    </row>
    <row r="156" spans="1:6" ht="19.5" thickBot="1" x14ac:dyDescent="0.45">
      <c r="A156" s="13" t="s">
        <v>106</v>
      </c>
    </row>
    <row r="157" spans="1:6" ht="19.5" thickBot="1" x14ac:dyDescent="0.45">
      <c r="A157" s="13" t="s">
        <v>107</v>
      </c>
      <c r="B157" s="14" t="s">
        <v>124</v>
      </c>
      <c r="C157" s="15">
        <v>45</v>
      </c>
      <c r="D157" s="16">
        <v>0.75</v>
      </c>
    </row>
    <row r="159" spans="1:6" x14ac:dyDescent="0.4">
      <c r="A159" t="s">
        <v>108</v>
      </c>
    </row>
    <row r="160" spans="1:6" ht="19.5" thickBot="1" x14ac:dyDescent="0.45"/>
    <row r="161" spans="1:6" ht="19.5" thickBot="1" x14ac:dyDescent="0.45">
      <c r="A161" s="14" t="s">
        <v>125</v>
      </c>
      <c r="B161" s="15">
        <v>6</v>
      </c>
      <c r="C161" s="16">
        <v>1</v>
      </c>
    </row>
    <row r="162" spans="1:6" ht="19.5" thickBot="1" x14ac:dyDescent="0.45">
      <c r="A162" s="13" t="s">
        <v>106</v>
      </c>
    </row>
    <row r="163" spans="1:6" ht="19.5" thickBot="1" x14ac:dyDescent="0.45">
      <c r="A163" s="13" t="s">
        <v>113</v>
      </c>
      <c r="B163" s="14" t="s">
        <v>119</v>
      </c>
      <c r="C163" s="15">
        <v>24</v>
      </c>
      <c r="D163" s="16">
        <v>1.6</v>
      </c>
    </row>
    <row r="164" spans="1:6" ht="19.5" thickBot="1" x14ac:dyDescent="0.45">
      <c r="A164" s="13" t="s">
        <v>106</v>
      </c>
      <c r="B164" s="13" t="s">
        <v>106</v>
      </c>
    </row>
    <row r="165" spans="1:6" ht="19.5" thickBot="1" x14ac:dyDescent="0.45">
      <c r="A165" s="13" t="s">
        <v>106</v>
      </c>
      <c r="B165" s="13" t="s">
        <v>107</v>
      </c>
      <c r="C165" s="14" t="s">
        <v>111</v>
      </c>
      <c r="D165" s="15">
        <v>96</v>
      </c>
      <c r="E165" s="16">
        <v>2.1333333333333333</v>
      </c>
    </row>
    <row r="166" spans="1:6" ht="19.5" thickBot="1" x14ac:dyDescent="0.45">
      <c r="A166" s="13" t="s">
        <v>106</v>
      </c>
      <c r="C166" s="13" t="s">
        <v>106</v>
      </c>
    </row>
    <row r="167" spans="1:6" ht="19.5" thickBot="1" x14ac:dyDescent="0.45">
      <c r="A167" s="13" t="s">
        <v>106</v>
      </c>
      <c r="C167" s="13" t="s">
        <v>113</v>
      </c>
      <c r="D167" s="14" t="s">
        <v>112</v>
      </c>
      <c r="E167" s="15">
        <v>96</v>
      </c>
      <c r="F167" s="16">
        <v>1.6</v>
      </c>
    </row>
    <row r="168" spans="1:6" ht="19.5" thickBot="1" x14ac:dyDescent="0.45">
      <c r="A168" s="13" t="s">
        <v>106</v>
      </c>
      <c r="C168" s="13" t="s">
        <v>78</v>
      </c>
    </row>
    <row r="169" spans="1:6" ht="19.5" thickBot="1" x14ac:dyDescent="0.45">
      <c r="A169" s="13" t="s">
        <v>106</v>
      </c>
      <c r="C169" s="13" t="s">
        <v>107</v>
      </c>
      <c r="D169" s="14" t="s">
        <v>105</v>
      </c>
      <c r="E169" s="15">
        <v>96</v>
      </c>
      <c r="F169" s="16">
        <v>1.6</v>
      </c>
    </row>
    <row r="170" spans="1:6" ht="19.5" thickBot="1" x14ac:dyDescent="0.45">
      <c r="A170" s="13" t="s">
        <v>78</v>
      </c>
    </row>
    <row r="171" spans="1:6" ht="19.5" thickBot="1" x14ac:dyDescent="0.45">
      <c r="A171" s="13" t="s">
        <v>107</v>
      </c>
      <c r="B171" s="14" t="s">
        <v>123</v>
      </c>
      <c r="C171" s="15">
        <v>30</v>
      </c>
      <c r="D171" s="16">
        <v>2</v>
      </c>
    </row>
    <row r="172" spans="1:6" ht="19.5" thickBot="1" x14ac:dyDescent="0.45">
      <c r="B172" s="13" t="s">
        <v>106</v>
      </c>
    </row>
    <row r="173" spans="1:6" ht="19.5" thickBot="1" x14ac:dyDescent="0.45">
      <c r="B173" s="13" t="s">
        <v>107</v>
      </c>
      <c r="C173" s="14" t="s">
        <v>124</v>
      </c>
      <c r="D173" s="15">
        <v>90</v>
      </c>
      <c r="E173" s="16">
        <v>1.5</v>
      </c>
    </row>
    <row r="175" spans="1:6" x14ac:dyDescent="0.4">
      <c r="A175" t="s">
        <v>108</v>
      </c>
    </row>
    <row r="176" spans="1:6" ht="19.5" thickBot="1" x14ac:dyDescent="0.45"/>
    <row r="177" spans="1:6" ht="19.5" thickBot="1" x14ac:dyDescent="0.45">
      <c r="A177" s="14" t="s">
        <v>126</v>
      </c>
      <c r="B177" s="15">
        <v>5</v>
      </c>
      <c r="C177" s="16">
        <v>1</v>
      </c>
    </row>
    <row r="178" spans="1:6" ht="19.5" thickBot="1" x14ac:dyDescent="0.45">
      <c r="A178" s="13" t="s">
        <v>106</v>
      </c>
    </row>
    <row r="179" spans="1:6" ht="19.5" thickBot="1" x14ac:dyDescent="0.45">
      <c r="A179" s="13" t="s">
        <v>113</v>
      </c>
      <c r="B179" s="14" t="s">
        <v>120</v>
      </c>
      <c r="C179" s="15">
        <v>15</v>
      </c>
      <c r="D179" s="16">
        <v>0.75</v>
      </c>
    </row>
    <row r="180" spans="1:6" ht="19.5" thickBot="1" x14ac:dyDescent="0.45">
      <c r="A180" s="13" t="s">
        <v>106</v>
      </c>
      <c r="B180" s="13" t="s">
        <v>106</v>
      </c>
    </row>
    <row r="181" spans="1:6" ht="19.5" thickBot="1" x14ac:dyDescent="0.45">
      <c r="A181" s="13" t="s">
        <v>106</v>
      </c>
      <c r="B181" s="13" t="s">
        <v>107</v>
      </c>
      <c r="C181" s="14" t="s">
        <v>111</v>
      </c>
      <c r="D181" s="15">
        <v>22.5</v>
      </c>
      <c r="E181" s="16">
        <v>0.5</v>
      </c>
    </row>
    <row r="182" spans="1:6" ht="19.5" thickBot="1" x14ac:dyDescent="0.45">
      <c r="A182" s="13" t="s">
        <v>106</v>
      </c>
      <c r="C182" s="13" t="s">
        <v>106</v>
      </c>
    </row>
    <row r="183" spans="1:6" ht="19.5" thickBot="1" x14ac:dyDescent="0.45">
      <c r="A183" s="13" t="s">
        <v>106</v>
      </c>
      <c r="C183" s="13" t="s">
        <v>113</v>
      </c>
      <c r="D183" s="14" t="s">
        <v>112</v>
      </c>
      <c r="E183" s="15">
        <v>22.5</v>
      </c>
      <c r="F183" s="16">
        <v>0.375</v>
      </c>
    </row>
    <row r="184" spans="1:6" ht="19.5" thickBot="1" x14ac:dyDescent="0.45">
      <c r="A184" s="13" t="s">
        <v>106</v>
      </c>
      <c r="C184" s="13" t="s">
        <v>78</v>
      </c>
    </row>
    <row r="185" spans="1:6" ht="19.5" thickBot="1" x14ac:dyDescent="0.45">
      <c r="A185" s="13" t="s">
        <v>106</v>
      </c>
      <c r="C185" s="13" t="s">
        <v>107</v>
      </c>
      <c r="D185" s="14" t="s">
        <v>105</v>
      </c>
      <c r="E185" s="15">
        <v>22.5</v>
      </c>
      <c r="F185" s="16">
        <v>0.375</v>
      </c>
    </row>
    <row r="186" spans="1:6" ht="19.5" thickBot="1" x14ac:dyDescent="0.45">
      <c r="A186" s="13" t="s">
        <v>78</v>
      </c>
    </row>
    <row r="187" spans="1:6" ht="19.5" thickBot="1" x14ac:dyDescent="0.45">
      <c r="A187" s="13" t="s">
        <v>107</v>
      </c>
      <c r="B187" s="14" t="s">
        <v>121</v>
      </c>
      <c r="C187" s="15">
        <v>40</v>
      </c>
      <c r="D187" s="16">
        <v>1.3333333333333333</v>
      </c>
    </row>
    <row r="188" spans="1:6" ht="19.5" thickBot="1" x14ac:dyDescent="0.45">
      <c r="B188" s="13" t="s">
        <v>106</v>
      </c>
    </row>
    <row r="189" spans="1:6" ht="19.5" thickBot="1" x14ac:dyDescent="0.45">
      <c r="B189" s="13" t="s">
        <v>107</v>
      </c>
      <c r="C189" s="14" t="s">
        <v>109</v>
      </c>
      <c r="D189" s="15">
        <v>20</v>
      </c>
      <c r="E189" s="16">
        <v>0.66666666666666663</v>
      </c>
    </row>
    <row r="190" spans="1:6" ht="19.5" thickBot="1" x14ac:dyDescent="0.45">
      <c r="C190" s="13" t="s">
        <v>106</v>
      </c>
    </row>
    <row r="191" spans="1:6" ht="19.5" thickBot="1" x14ac:dyDescent="0.45">
      <c r="C191" s="13" t="s">
        <v>107</v>
      </c>
      <c r="D191" s="14" t="s">
        <v>110</v>
      </c>
      <c r="E191" s="15">
        <v>20</v>
      </c>
      <c r="F191" s="16">
        <v>0.33333333333333331</v>
      </c>
    </row>
    <row r="193" spans="1:7" x14ac:dyDescent="0.4">
      <c r="A193" t="s">
        <v>108</v>
      </c>
    </row>
    <row r="194" spans="1:7" ht="19.5" thickBot="1" x14ac:dyDescent="0.45"/>
    <row r="195" spans="1:7" ht="19.5" thickBot="1" x14ac:dyDescent="0.45">
      <c r="A195" s="14" t="s">
        <v>127</v>
      </c>
      <c r="B195" s="15">
        <v>5</v>
      </c>
      <c r="C195" s="16">
        <v>1</v>
      </c>
    </row>
    <row r="196" spans="1:7" ht="19.5" thickBot="1" x14ac:dyDescent="0.45">
      <c r="A196" s="13" t="s">
        <v>106</v>
      </c>
    </row>
    <row r="197" spans="1:7" ht="19.5" thickBot="1" x14ac:dyDescent="0.45">
      <c r="A197" s="13" t="s">
        <v>113</v>
      </c>
      <c r="B197" s="14" t="s">
        <v>116</v>
      </c>
      <c r="C197" s="15">
        <v>10</v>
      </c>
      <c r="D197" s="16">
        <v>2.5</v>
      </c>
    </row>
    <row r="198" spans="1:7" ht="19.5" thickBot="1" x14ac:dyDescent="0.45">
      <c r="A198" s="13" t="s">
        <v>106</v>
      </c>
      <c r="B198" s="13" t="s">
        <v>106</v>
      </c>
    </row>
    <row r="199" spans="1:7" ht="19.5" thickBot="1" x14ac:dyDescent="0.45">
      <c r="A199" s="13" t="s">
        <v>106</v>
      </c>
      <c r="B199" s="13" t="s">
        <v>113</v>
      </c>
      <c r="C199" s="14" t="s">
        <v>114</v>
      </c>
      <c r="D199" s="15">
        <v>50</v>
      </c>
      <c r="E199" s="16">
        <v>3.3333333333333335</v>
      </c>
    </row>
    <row r="200" spans="1:7" ht="19.5" thickBot="1" x14ac:dyDescent="0.45">
      <c r="A200" s="13" t="s">
        <v>106</v>
      </c>
      <c r="B200" s="13" t="s">
        <v>106</v>
      </c>
      <c r="C200" s="13" t="s">
        <v>106</v>
      </c>
    </row>
    <row r="201" spans="1:7" ht="19.5" thickBot="1" x14ac:dyDescent="0.45">
      <c r="A201" s="13" t="s">
        <v>106</v>
      </c>
      <c r="B201" s="13" t="s">
        <v>106</v>
      </c>
      <c r="C201" s="13" t="s">
        <v>107</v>
      </c>
      <c r="D201" s="14" t="s">
        <v>104</v>
      </c>
      <c r="E201" s="15">
        <v>50</v>
      </c>
      <c r="F201" s="16">
        <v>1.6666666666666667</v>
      </c>
    </row>
    <row r="202" spans="1:7" ht="19.5" thickBot="1" x14ac:dyDescent="0.45">
      <c r="A202" s="13" t="s">
        <v>106</v>
      </c>
      <c r="B202" s="13" t="s">
        <v>106</v>
      </c>
      <c r="D202" s="13" t="s">
        <v>106</v>
      </c>
    </row>
    <row r="203" spans="1:7" ht="19.5" thickBot="1" x14ac:dyDescent="0.45">
      <c r="A203" s="13" t="s">
        <v>106</v>
      </c>
      <c r="B203" s="13" t="s">
        <v>106</v>
      </c>
      <c r="D203" s="13" t="s">
        <v>107</v>
      </c>
      <c r="E203" s="14" t="s">
        <v>105</v>
      </c>
      <c r="F203" s="15">
        <v>50</v>
      </c>
      <c r="G203" s="16">
        <v>0.83333333333333337</v>
      </c>
    </row>
    <row r="204" spans="1:7" ht="19.5" thickBot="1" x14ac:dyDescent="0.45">
      <c r="A204" s="13" t="s">
        <v>106</v>
      </c>
      <c r="B204" s="13" t="s">
        <v>78</v>
      </c>
    </row>
    <row r="205" spans="1:7" ht="19.5" thickBot="1" x14ac:dyDescent="0.45">
      <c r="A205" s="13" t="s">
        <v>106</v>
      </c>
      <c r="B205" s="13" t="s">
        <v>107</v>
      </c>
      <c r="C205" s="14" t="s">
        <v>84</v>
      </c>
      <c r="D205" s="15">
        <v>250</v>
      </c>
      <c r="E205" s="16">
        <v>6.25</v>
      </c>
    </row>
    <row r="206" spans="1:7" ht="19.5" thickBot="1" x14ac:dyDescent="0.45">
      <c r="A206" s="13" t="s">
        <v>106</v>
      </c>
      <c r="C206" s="13" t="s">
        <v>106</v>
      </c>
    </row>
    <row r="207" spans="1:7" ht="19.5" thickBot="1" x14ac:dyDescent="0.45">
      <c r="A207" s="13" t="s">
        <v>106</v>
      </c>
      <c r="C207" s="13" t="s">
        <v>107</v>
      </c>
      <c r="D207" s="14" t="s">
        <v>114</v>
      </c>
      <c r="E207" s="15">
        <v>62.5</v>
      </c>
      <c r="F207" s="16">
        <v>4.166666666666667</v>
      </c>
    </row>
    <row r="208" spans="1:7" ht="19.5" thickBot="1" x14ac:dyDescent="0.45">
      <c r="A208" s="13" t="s">
        <v>106</v>
      </c>
      <c r="D208" s="13" t="s">
        <v>106</v>
      </c>
    </row>
    <row r="209" spans="1:8" ht="19.5" thickBot="1" x14ac:dyDescent="0.45">
      <c r="A209" s="13" t="s">
        <v>106</v>
      </c>
      <c r="D209" s="13" t="s">
        <v>107</v>
      </c>
      <c r="E209" s="14" t="s">
        <v>104</v>
      </c>
      <c r="F209" s="15">
        <v>62.5</v>
      </c>
      <c r="G209" s="16">
        <v>2.0833333333333335</v>
      </c>
    </row>
    <row r="210" spans="1:8" ht="19.5" thickBot="1" x14ac:dyDescent="0.45">
      <c r="A210" s="13" t="s">
        <v>106</v>
      </c>
      <c r="E210" s="13" t="s">
        <v>106</v>
      </c>
    </row>
    <row r="211" spans="1:8" ht="19.5" thickBot="1" x14ac:dyDescent="0.45">
      <c r="A211" s="13" t="s">
        <v>106</v>
      </c>
      <c r="E211" s="13" t="s">
        <v>107</v>
      </c>
      <c r="F211" s="14" t="s">
        <v>105</v>
      </c>
      <c r="G211" s="15">
        <v>62.5</v>
      </c>
      <c r="H211" s="16">
        <v>1.0416666666666667</v>
      </c>
    </row>
    <row r="212" spans="1:8" ht="19.5" thickBot="1" x14ac:dyDescent="0.45">
      <c r="A212" s="13" t="s">
        <v>78</v>
      </c>
    </row>
    <row r="213" spans="1:8" ht="19.5" thickBot="1" x14ac:dyDescent="0.45">
      <c r="A213" s="13" t="s">
        <v>107</v>
      </c>
      <c r="B213" s="14" t="s">
        <v>126</v>
      </c>
      <c r="C213" s="15">
        <v>10</v>
      </c>
      <c r="D213" s="16">
        <v>2</v>
      </c>
    </row>
    <row r="214" spans="1:8" ht="19.5" thickBot="1" x14ac:dyDescent="0.45">
      <c r="B214" s="13" t="s">
        <v>106</v>
      </c>
    </row>
    <row r="215" spans="1:8" ht="19.5" thickBot="1" x14ac:dyDescent="0.45">
      <c r="B215" s="13" t="s">
        <v>113</v>
      </c>
      <c r="C215" s="14" t="s">
        <v>120</v>
      </c>
      <c r="D215" s="15">
        <v>30</v>
      </c>
      <c r="E215" s="16">
        <v>1.5</v>
      </c>
    </row>
    <row r="216" spans="1:8" ht="19.5" thickBot="1" x14ac:dyDescent="0.45">
      <c r="B216" s="13" t="s">
        <v>106</v>
      </c>
      <c r="C216" s="13" t="s">
        <v>106</v>
      </c>
    </row>
    <row r="217" spans="1:8" ht="19.5" thickBot="1" x14ac:dyDescent="0.45">
      <c r="B217" s="13" t="s">
        <v>106</v>
      </c>
      <c r="C217" s="13" t="s">
        <v>107</v>
      </c>
      <c r="D217" s="14" t="s">
        <v>111</v>
      </c>
      <c r="E217" s="15">
        <v>45</v>
      </c>
      <c r="F217" s="16">
        <v>1</v>
      </c>
    </row>
    <row r="218" spans="1:8" ht="19.5" thickBot="1" x14ac:dyDescent="0.45">
      <c r="B218" s="13" t="s">
        <v>106</v>
      </c>
      <c r="D218" s="13" t="s">
        <v>106</v>
      </c>
    </row>
    <row r="219" spans="1:8" ht="19.5" thickBot="1" x14ac:dyDescent="0.45">
      <c r="B219" s="13" t="s">
        <v>106</v>
      </c>
      <c r="D219" s="13" t="s">
        <v>113</v>
      </c>
      <c r="E219" s="14" t="s">
        <v>112</v>
      </c>
      <c r="F219" s="15">
        <v>45</v>
      </c>
      <c r="G219" s="16">
        <v>0.75</v>
      </c>
    </row>
    <row r="220" spans="1:8" ht="19.5" thickBot="1" x14ac:dyDescent="0.45">
      <c r="B220" s="13" t="s">
        <v>106</v>
      </c>
      <c r="D220" s="13" t="s">
        <v>78</v>
      </c>
    </row>
    <row r="221" spans="1:8" ht="19.5" thickBot="1" x14ac:dyDescent="0.45">
      <c r="B221" s="13" t="s">
        <v>106</v>
      </c>
      <c r="D221" s="13" t="s">
        <v>107</v>
      </c>
      <c r="E221" s="14" t="s">
        <v>105</v>
      </c>
      <c r="F221" s="15">
        <v>45</v>
      </c>
      <c r="G221" s="16">
        <v>0.75</v>
      </c>
    </row>
    <row r="222" spans="1:8" ht="19.5" thickBot="1" x14ac:dyDescent="0.45">
      <c r="B222" s="13" t="s">
        <v>78</v>
      </c>
    </row>
    <row r="223" spans="1:8" ht="19.5" thickBot="1" x14ac:dyDescent="0.45">
      <c r="B223" s="13" t="s">
        <v>107</v>
      </c>
      <c r="C223" s="14" t="s">
        <v>121</v>
      </c>
      <c r="D223" s="15">
        <v>80</v>
      </c>
      <c r="E223" s="16">
        <v>2.6666666666666665</v>
      </c>
    </row>
    <row r="224" spans="1:8" ht="19.5" thickBot="1" x14ac:dyDescent="0.45">
      <c r="C224" s="13" t="s">
        <v>106</v>
      </c>
    </row>
    <row r="225" spans="1:7" ht="19.5" thickBot="1" x14ac:dyDescent="0.45">
      <c r="C225" s="13" t="s">
        <v>107</v>
      </c>
      <c r="D225" s="14" t="s">
        <v>109</v>
      </c>
      <c r="E225" s="15">
        <v>40</v>
      </c>
      <c r="F225" s="16">
        <v>1.3333333333333333</v>
      </c>
    </row>
    <row r="226" spans="1:7" ht="19.5" thickBot="1" x14ac:dyDescent="0.45">
      <c r="D226" s="13" t="s">
        <v>106</v>
      </c>
    </row>
    <row r="227" spans="1:7" ht="19.5" thickBot="1" x14ac:dyDescent="0.45">
      <c r="D227" s="13" t="s">
        <v>107</v>
      </c>
      <c r="E227" s="14" t="s">
        <v>110</v>
      </c>
      <c r="F227" s="15">
        <v>40</v>
      </c>
      <c r="G227" s="16">
        <v>0.66666666666666663</v>
      </c>
    </row>
    <row r="229" spans="1:7" x14ac:dyDescent="0.4">
      <c r="A229" t="s">
        <v>108</v>
      </c>
    </row>
    <row r="230" spans="1:7" ht="19.5" thickBot="1" x14ac:dyDescent="0.45"/>
    <row r="231" spans="1:7" ht="19.5" thickBot="1" x14ac:dyDescent="0.45">
      <c r="A231" s="14" t="s">
        <v>128</v>
      </c>
      <c r="B231" s="15">
        <v>2</v>
      </c>
      <c r="C231" s="16">
        <v>1</v>
      </c>
    </row>
    <row r="232" spans="1:7" ht="19.5" thickBot="1" x14ac:dyDescent="0.45">
      <c r="A232" s="13" t="s">
        <v>106</v>
      </c>
    </row>
    <row r="233" spans="1:7" ht="19.5" thickBot="1" x14ac:dyDescent="0.45">
      <c r="A233" s="13" t="s">
        <v>113</v>
      </c>
      <c r="B233" s="14" t="s">
        <v>117</v>
      </c>
      <c r="C233" s="15">
        <v>2</v>
      </c>
      <c r="D233" s="16">
        <v>0.4</v>
      </c>
    </row>
    <row r="234" spans="1:7" ht="19.5" thickBot="1" x14ac:dyDescent="0.45">
      <c r="A234" s="13" t="s">
        <v>106</v>
      </c>
      <c r="B234" s="13" t="s">
        <v>106</v>
      </c>
    </row>
    <row r="235" spans="1:7" ht="19.5" thickBot="1" x14ac:dyDescent="0.45">
      <c r="A235" s="13" t="s">
        <v>106</v>
      </c>
      <c r="B235" s="13" t="s">
        <v>113</v>
      </c>
      <c r="C235" s="14" t="s">
        <v>115</v>
      </c>
      <c r="D235" s="15">
        <v>12</v>
      </c>
      <c r="E235" s="16">
        <v>0.6</v>
      </c>
    </row>
    <row r="236" spans="1:7" ht="19.5" thickBot="1" x14ac:dyDescent="0.45">
      <c r="A236" s="13" t="s">
        <v>106</v>
      </c>
      <c r="B236" s="13" t="s">
        <v>106</v>
      </c>
      <c r="C236" s="13" t="s">
        <v>106</v>
      </c>
    </row>
    <row r="237" spans="1:7" ht="19.5" thickBot="1" x14ac:dyDescent="0.45">
      <c r="A237" s="13" t="s">
        <v>106</v>
      </c>
      <c r="B237" s="13" t="s">
        <v>106</v>
      </c>
      <c r="C237" s="13" t="s">
        <v>107</v>
      </c>
      <c r="D237" s="14" t="s">
        <v>104</v>
      </c>
      <c r="E237" s="15">
        <v>18</v>
      </c>
      <c r="F237" s="16">
        <v>0.6</v>
      </c>
    </row>
    <row r="238" spans="1:7" ht="19.5" thickBot="1" x14ac:dyDescent="0.45">
      <c r="A238" s="13" t="s">
        <v>106</v>
      </c>
      <c r="B238" s="13" t="s">
        <v>106</v>
      </c>
      <c r="D238" s="13" t="s">
        <v>106</v>
      </c>
    </row>
    <row r="239" spans="1:7" ht="19.5" thickBot="1" x14ac:dyDescent="0.45">
      <c r="A239" s="13" t="s">
        <v>106</v>
      </c>
      <c r="B239" s="13" t="s">
        <v>106</v>
      </c>
      <c r="D239" s="13" t="s">
        <v>107</v>
      </c>
      <c r="E239" s="14" t="s">
        <v>105</v>
      </c>
      <c r="F239" s="15">
        <v>18</v>
      </c>
      <c r="G239" s="16">
        <v>0.3</v>
      </c>
    </row>
    <row r="240" spans="1:7" ht="19.5" thickBot="1" x14ac:dyDescent="0.45">
      <c r="A240" s="13" t="s">
        <v>106</v>
      </c>
      <c r="B240" s="13" t="s">
        <v>78</v>
      </c>
    </row>
    <row r="241" spans="1:8" ht="19.5" thickBot="1" x14ac:dyDescent="0.45">
      <c r="A241" s="13" t="s">
        <v>106</v>
      </c>
      <c r="B241" s="13" t="s">
        <v>107</v>
      </c>
      <c r="C241" s="14" t="s">
        <v>84</v>
      </c>
      <c r="D241" s="15">
        <v>24</v>
      </c>
      <c r="E241" s="16">
        <v>0.6</v>
      </c>
    </row>
    <row r="242" spans="1:8" ht="19.5" thickBot="1" x14ac:dyDescent="0.45">
      <c r="A242" s="13" t="s">
        <v>106</v>
      </c>
      <c r="C242" s="13" t="s">
        <v>106</v>
      </c>
    </row>
    <row r="243" spans="1:8" ht="19.5" thickBot="1" x14ac:dyDescent="0.45">
      <c r="A243" s="13" t="s">
        <v>106</v>
      </c>
      <c r="C243" s="13" t="s">
        <v>107</v>
      </c>
      <c r="D243" s="14" t="s">
        <v>114</v>
      </c>
      <c r="E243" s="15">
        <v>6</v>
      </c>
      <c r="F243" s="16">
        <v>0.4</v>
      </c>
    </row>
    <row r="244" spans="1:8" ht="19.5" thickBot="1" x14ac:dyDescent="0.45">
      <c r="A244" s="13" t="s">
        <v>106</v>
      </c>
      <c r="D244" s="13" t="s">
        <v>106</v>
      </c>
    </row>
    <row r="245" spans="1:8" ht="19.5" thickBot="1" x14ac:dyDescent="0.45">
      <c r="A245" s="13" t="s">
        <v>106</v>
      </c>
      <c r="D245" s="13" t="s">
        <v>107</v>
      </c>
      <c r="E245" s="14" t="s">
        <v>104</v>
      </c>
      <c r="F245" s="15">
        <v>6</v>
      </c>
      <c r="G245" s="16">
        <v>0.2</v>
      </c>
    </row>
    <row r="246" spans="1:8" ht="19.5" thickBot="1" x14ac:dyDescent="0.45">
      <c r="A246" s="13" t="s">
        <v>106</v>
      </c>
      <c r="E246" s="13" t="s">
        <v>106</v>
      </c>
    </row>
    <row r="247" spans="1:8" ht="19.5" thickBot="1" x14ac:dyDescent="0.45">
      <c r="A247" s="13" t="s">
        <v>106</v>
      </c>
      <c r="E247" s="13" t="s">
        <v>107</v>
      </c>
      <c r="F247" s="14" t="s">
        <v>105</v>
      </c>
      <c r="G247" s="15">
        <v>6</v>
      </c>
      <c r="H247" s="16">
        <v>0.1</v>
      </c>
    </row>
    <row r="248" spans="1:8" ht="19.5" thickBot="1" x14ac:dyDescent="0.45">
      <c r="A248" s="13" t="s">
        <v>78</v>
      </c>
    </row>
    <row r="249" spans="1:8" ht="19.5" thickBot="1" x14ac:dyDescent="0.45">
      <c r="A249" s="13" t="s">
        <v>107</v>
      </c>
      <c r="B249" s="14" t="s">
        <v>116</v>
      </c>
      <c r="C249" s="15">
        <v>2</v>
      </c>
      <c r="D249" s="16">
        <v>0.5</v>
      </c>
    </row>
    <row r="250" spans="1:8" ht="19.5" thickBot="1" x14ac:dyDescent="0.45">
      <c r="B250" s="13" t="s">
        <v>106</v>
      </c>
    </row>
    <row r="251" spans="1:8" ht="19.5" thickBot="1" x14ac:dyDescent="0.45">
      <c r="B251" s="13" t="s">
        <v>113</v>
      </c>
      <c r="C251" s="14" t="s">
        <v>114</v>
      </c>
      <c r="D251" s="15">
        <v>10</v>
      </c>
      <c r="E251" s="16">
        <v>0.66666666666666663</v>
      </c>
    </row>
    <row r="252" spans="1:8" ht="19.5" thickBot="1" x14ac:dyDescent="0.45">
      <c r="B252" s="13" t="s">
        <v>106</v>
      </c>
      <c r="C252" s="13" t="s">
        <v>106</v>
      </c>
    </row>
    <row r="253" spans="1:8" ht="19.5" thickBot="1" x14ac:dyDescent="0.45">
      <c r="B253" s="13" t="s">
        <v>106</v>
      </c>
      <c r="C253" s="13" t="s">
        <v>107</v>
      </c>
      <c r="D253" s="14" t="s">
        <v>104</v>
      </c>
      <c r="E253" s="15">
        <v>10</v>
      </c>
      <c r="F253" s="16">
        <v>0.33333333333333331</v>
      </c>
    </row>
    <row r="254" spans="1:8" ht="19.5" thickBot="1" x14ac:dyDescent="0.45">
      <c r="B254" s="13" t="s">
        <v>106</v>
      </c>
      <c r="D254" s="13" t="s">
        <v>106</v>
      </c>
    </row>
    <row r="255" spans="1:8" ht="19.5" thickBot="1" x14ac:dyDescent="0.45">
      <c r="B255" s="13" t="s">
        <v>106</v>
      </c>
      <c r="D255" s="13" t="s">
        <v>107</v>
      </c>
      <c r="E255" s="14" t="s">
        <v>105</v>
      </c>
      <c r="F255" s="15">
        <v>10</v>
      </c>
      <c r="G255" s="16">
        <v>0.16666666666666666</v>
      </c>
    </row>
    <row r="256" spans="1:8" ht="19.5" thickBot="1" x14ac:dyDescent="0.45">
      <c r="B256" s="13" t="s">
        <v>78</v>
      </c>
    </row>
    <row r="257" spans="1:8" ht="19.5" thickBot="1" x14ac:dyDescent="0.45">
      <c r="B257" s="13" t="s">
        <v>107</v>
      </c>
      <c r="C257" s="14" t="s">
        <v>84</v>
      </c>
      <c r="D257" s="15">
        <v>50</v>
      </c>
      <c r="E257" s="16">
        <v>1.25</v>
      </c>
    </row>
    <row r="258" spans="1:8" ht="19.5" thickBot="1" x14ac:dyDescent="0.45">
      <c r="C258" s="13" t="s">
        <v>106</v>
      </c>
    </row>
    <row r="259" spans="1:8" ht="19.5" thickBot="1" x14ac:dyDescent="0.45">
      <c r="C259" s="13" t="s">
        <v>107</v>
      </c>
      <c r="D259" s="14" t="s">
        <v>114</v>
      </c>
      <c r="E259" s="15">
        <v>12.5</v>
      </c>
      <c r="F259" s="16">
        <v>0.83333333333333337</v>
      </c>
    </row>
    <row r="260" spans="1:8" ht="19.5" thickBot="1" x14ac:dyDescent="0.45">
      <c r="D260" s="13" t="s">
        <v>106</v>
      </c>
    </row>
    <row r="261" spans="1:8" ht="19.5" thickBot="1" x14ac:dyDescent="0.45">
      <c r="D261" s="13" t="s">
        <v>107</v>
      </c>
      <c r="E261" s="14" t="s">
        <v>104</v>
      </c>
      <c r="F261" s="15">
        <v>12.5</v>
      </c>
      <c r="G261" s="16">
        <v>0.41666666666666669</v>
      </c>
    </row>
    <row r="262" spans="1:8" ht="19.5" thickBot="1" x14ac:dyDescent="0.45">
      <c r="E262" s="13" t="s">
        <v>106</v>
      </c>
    </row>
    <row r="263" spans="1:8" ht="19.5" thickBot="1" x14ac:dyDescent="0.45">
      <c r="E263" s="13" t="s">
        <v>107</v>
      </c>
      <c r="F263" s="14" t="s">
        <v>105</v>
      </c>
      <c r="G263" s="15">
        <v>12.5</v>
      </c>
      <c r="H263" s="16">
        <v>0.20833333333333334</v>
      </c>
    </row>
    <row r="265" spans="1:8" x14ac:dyDescent="0.4">
      <c r="A265" t="s">
        <v>108</v>
      </c>
    </row>
    <row r="266" spans="1:8" ht="19.5" thickBot="1" x14ac:dyDescent="0.45"/>
    <row r="267" spans="1:8" ht="19.5" thickBot="1" x14ac:dyDescent="0.45">
      <c r="A267" s="14" t="s">
        <v>129</v>
      </c>
      <c r="B267" s="15">
        <v>5</v>
      </c>
      <c r="C267" s="16">
        <v>1</v>
      </c>
    </row>
    <row r="268" spans="1:8" ht="19.5" thickBot="1" x14ac:dyDescent="0.45">
      <c r="A268" s="13" t="s">
        <v>106</v>
      </c>
    </row>
    <row r="269" spans="1:8" ht="19.5" thickBot="1" x14ac:dyDescent="0.45">
      <c r="A269" s="13" t="s">
        <v>113</v>
      </c>
      <c r="B269" s="14" t="s">
        <v>83</v>
      </c>
      <c r="C269" s="15">
        <v>2.5</v>
      </c>
      <c r="D269" s="16">
        <v>1.25</v>
      </c>
    </row>
    <row r="270" spans="1:8" ht="19.5" thickBot="1" x14ac:dyDescent="0.45">
      <c r="A270" s="13" t="s">
        <v>106</v>
      </c>
      <c r="B270" s="13" t="s">
        <v>106</v>
      </c>
    </row>
    <row r="271" spans="1:8" ht="19.5" thickBot="1" x14ac:dyDescent="0.45">
      <c r="A271" s="13" t="s">
        <v>106</v>
      </c>
      <c r="B271" s="13" t="s">
        <v>113</v>
      </c>
      <c r="C271" s="14" t="s">
        <v>117</v>
      </c>
      <c r="D271" s="15">
        <v>3.75</v>
      </c>
      <c r="E271" s="16">
        <v>0.75</v>
      </c>
    </row>
    <row r="272" spans="1:8" ht="19.5" thickBot="1" x14ac:dyDescent="0.45">
      <c r="A272" s="13" t="s">
        <v>106</v>
      </c>
      <c r="B272" s="13" t="s">
        <v>106</v>
      </c>
      <c r="C272" s="13" t="s">
        <v>106</v>
      </c>
    </row>
    <row r="273" spans="1:9" ht="19.5" thickBot="1" x14ac:dyDescent="0.45">
      <c r="A273" s="13" t="s">
        <v>106</v>
      </c>
      <c r="B273" s="13" t="s">
        <v>106</v>
      </c>
      <c r="C273" s="13" t="s">
        <v>113</v>
      </c>
      <c r="D273" s="14" t="s">
        <v>115</v>
      </c>
      <c r="E273" s="15">
        <v>22.5</v>
      </c>
      <c r="F273" s="16">
        <v>1.125</v>
      </c>
    </row>
    <row r="274" spans="1:9" ht="19.5" thickBot="1" x14ac:dyDescent="0.45">
      <c r="A274" s="13" t="s">
        <v>106</v>
      </c>
      <c r="B274" s="13" t="s">
        <v>106</v>
      </c>
      <c r="C274" s="13" t="s">
        <v>106</v>
      </c>
      <c r="D274" s="13" t="s">
        <v>106</v>
      </c>
    </row>
    <row r="275" spans="1:9" ht="19.5" thickBot="1" x14ac:dyDescent="0.45">
      <c r="A275" s="13" t="s">
        <v>106</v>
      </c>
      <c r="B275" s="13" t="s">
        <v>106</v>
      </c>
      <c r="C275" s="13" t="s">
        <v>106</v>
      </c>
      <c r="D275" s="13" t="s">
        <v>107</v>
      </c>
      <c r="E275" s="14" t="s">
        <v>104</v>
      </c>
      <c r="F275" s="15">
        <v>33.75</v>
      </c>
      <c r="G275" s="16">
        <v>1.125</v>
      </c>
    </row>
    <row r="276" spans="1:9" ht="19.5" thickBot="1" x14ac:dyDescent="0.45">
      <c r="A276" s="13" t="s">
        <v>106</v>
      </c>
      <c r="B276" s="13" t="s">
        <v>106</v>
      </c>
      <c r="C276" s="13" t="s">
        <v>106</v>
      </c>
      <c r="E276" s="13" t="s">
        <v>106</v>
      </c>
    </row>
    <row r="277" spans="1:9" ht="19.5" thickBot="1" x14ac:dyDescent="0.45">
      <c r="A277" s="13" t="s">
        <v>106</v>
      </c>
      <c r="B277" s="13" t="s">
        <v>106</v>
      </c>
      <c r="C277" s="13" t="s">
        <v>106</v>
      </c>
      <c r="E277" s="13" t="s">
        <v>107</v>
      </c>
      <c r="F277" s="14" t="s">
        <v>105</v>
      </c>
      <c r="G277" s="15">
        <v>33.75</v>
      </c>
      <c r="H277" s="16">
        <v>0.5625</v>
      </c>
    </row>
    <row r="278" spans="1:9" ht="19.5" thickBot="1" x14ac:dyDescent="0.45">
      <c r="A278" s="13" t="s">
        <v>106</v>
      </c>
      <c r="B278" s="13" t="s">
        <v>106</v>
      </c>
      <c r="C278" s="13" t="s">
        <v>78</v>
      </c>
    </row>
    <row r="279" spans="1:9" ht="19.5" thickBot="1" x14ac:dyDescent="0.45">
      <c r="A279" s="13" t="s">
        <v>106</v>
      </c>
      <c r="B279" s="13" t="s">
        <v>106</v>
      </c>
      <c r="C279" s="13" t="s">
        <v>107</v>
      </c>
      <c r="D279" s="14" t="s">
        <v>84</v>
      </c>
      <c r="E279" s="15">
        <v>45</v>
      </c>
      <c r="F279" s="16">
        <v>1.125</v>
      </c>
    </row>
    <row r="280" spans="1:9" ht="19.5" thickBot="1" x14ac:dyDescent="0.45">
      <c r="A280" s="13" t="s">
        <v>106</v>
      </c>
      <c r="B280" s="13" t="s">
        <v>106</v>
      </c>
      <c r="D280" s="13" t="s">
        <v>106</v>
      </c>
    </row>
    <row r="281" spans="1:9" ht="19.5" thickBot="1" x14ac:dyDescent="0.45">
      <c r="A281" s="13" t="s">
        <v>106</v>
      </c>
      <c r="B281" s="13" t="s">
        <v>106</v>
      </c>
      <c r="D281" s="13" t="s">
        <v>107</v>
      </c>
      <c r="E281" s="14" t="s">
        <v>114</v>
      </c>
      <c r="F281" s="15">
        <v>11.25</v>
      </c>
      <c r="G281" s="16">
        <v>0.75</v>
      </c>
    </row>
    <row r="282" spans="1:9" ht="19.5" thickBot="1" x14ac:dyDescent="0.45">
      <c r="A282" s="13" t="s">
        <v>106</v>
      </c>
      <c r="B282" s="13" t="s">
        <v>106</v>
      </c>
      <c r="E282" s="13" t="s">
        <v>106</v>
      </c>
    </row>
    <row r="283" spans="1:9" ht="19.5" thickBot="1" x14ac:dyDescent="0.45">
      <c r="A283" s="13" t="s">
        <v>106</v>
      </c>
      <c r="B283" s="13" t="s">
        <v>106</v>
      </c>
      <c r="E283" s="13" t="s">
        <v>107</v>
      </c>
      <c r="F283" s="14" t="s">
        <v>104</v>
      </c>
      <c r="G283" s="15">
        <v>11.25</v>
      </c>
      <c r="H283" s="16">
        <v>0.375</v>
      </c>
    </row>
    <row r="284" spans="1:9" ht="19.5" thickBot="1" x14ac:dyDescent="0.45">
      <c r="A284" s="13" t="s">
        <v>106</v>
      </c>
      <c r="B284" s="13" t="s">
        <v>106</v>
      </c>
      <c r="F284" s="13" t="s">
        <v>106</v>
      </c>
    </row>
    <row r="285" spans="1:9" ht="19.5" thickBot="1" x14ac:dyDescent="0.45">
      <c r="A285" s="13" t="s">
        <v>106</v>
      </c>
      <c r="B285" s="13" t="s">
        <v>106</v>
      </c>
      <c r="F285" s="13" t="s">
        <v>107</v>
      </c>
      <c r="G285" s="14" t="s">
        <v>105</v>
      </c>
      <c r="H285" s="15">
        <v>11.25</v>
      </c>
      <c r="I285" s="16">
        <v>0.1875</v>
      </c>
    </row>
    <row r="286" spans="1:9" ht="19.5" thickBot="1" x14ac:dyDescent="0.45">
      <c r="A286" s="13" t="s">
        <v>106</v>
      </c>
      <c r="B286" s="13" t="s">
        <v>78</v>
      </c>
    </row>
    <row r="287" spans="1:9" ht="19.5" thickBot="1" x14ac:dyDescent="0.45">
      <c r="A287" s="13" t="s">
        <v>106</v>
      </c>
      <c r="B287" s="13" t="s">
        <v>107</v>
      </c>
      <c r="C287" s="14" t="s">
        <v>114</v>
      </c>
      <c r="D287" s="15">
        <v>15</v>
      </c>
      <c r="E287" s="16">
        <v>1</v>
      </c>
    </row>
    <row r="288" spans="1:9" ht="19.5" thickBot="1" x14ac:dyDescent="0.45">
      <c r="A288" s="13" t="s">
        <v>106</v>
      </c>
      <c r="C288" s="13" t="s">
        <v>106</v>
      </c>
    </row>
    <row r="289" spans="1:7" ht="19.5" thickBot="1" x14ac:dyDescent="0.45">
      <c r="A289" s="13" t="s">
        <v>106</v>
      </c>
      <c r="C289" s="13" t="s">
        <v>107</v>
      </c>
      <c r="D289" s="14" t="s">
        <v>104</v>
      </c>
      <c r="E289" s="15">
        <v>15</v>
      </c>
      <c r="F289" s="16">
        <v>0.5</v>
      </c>
    </row>
    <row r="290" spans="1:7" ht="19.5" thickBot="1" x14ac:dyDescent="0.45">
      <c r="A290" s="13" t="s">
        <v>106</v>
      </c>
      <c r="D290" s="13" t="s">
        <v>106</v>
      </c>
    </row>
    <row r="291" spans="1:7" ht="19.5" thickBot="1" x14ac:dyDescent="0.45">
      <c r="A291" s="13" t="s">
        <v>106</v>
      </c>
      <c r="D291" s="13" t="s">
        <v>107</v>
      </c>
      <c r="E291" s="14" t="s">
        <v>105</v>
      </c>
      <c r="F291" s="15">
        <v>15</v>
      </c>
      <c r="G291" s="16">
        <v>0.25</v>
      </c>
    </row>
    <row r="292" spans="1:7" ht="19.5" thickBot="1" x14ac:dyDescent="0.45">
      <c r="A292" s="13" t="s">
        <v>78</v>
      </c>
    </row>
    <row r="293" spans="1:7" ht="19.5" thickBot="1" x14ac:dyDescent="0.45">
      <c r="A293" s="13" t="s">
        <v>107</v>
      </c>
      <c r="B293" s="14" t="s">
        <v>119</v>
      </c>
      <c r="C293" s="15">
        <v>30</v>
      </c>
      <c r="D293" s="16">
        <v>2</v>
      </c>
    </row>
    <row r="294" spans="1:7" ht="19.5" thickBot="1" x14ac:dyDescent="0.45">
      <c r="B294" s="13" t="s">
        <v>106</v>
      </c>
    </row>
    <row r="295" spans="1:7" ht="19.5" thickBot="1" x14ac:dyDescent="0.45">
      <c r="B295" s="13" t="s">
        <v>107</v>
      </c>
      <c r="C295" s="14" t="s">
        <v>111</v>
      </c>
      <c r="D295" s="15">
        <v>120</v>
      </c>
      <c r="E295" s="16">
        <v>2.6666666666666665</v>
      </c>
    </row>
    <row r="296" spans="1:7" ht="19.5" thickBot="1" x14ac:dyDescent="0.45">
      <c r="C296" s="13" t="s">
        <v>106</v>
      </c>
    </row>
    <row r="297" spans="1:7" ht="19.5" thickBot="1" x14ac:dyDescent="0.45">
      <c r="C297" s="13" t="s">
        <v>113</v>
      </c>
      <c r="D297" s="14" t="s">
        <v>112</v>
      </c>
      <c r="E297" s="15">
        <v>120</v>
      </c>
      <c r="F297" s="16">
        <v>2</v>
      </c>
    </row>
    <row r="298" spans="1:7" ht="19.5" thickBot="1" x14ac:dyDescent="0.45">
      <c r="C298" s="13" t="s">
        <v>78</v>
      </c>
    </row>
    <row r="299" spans="1:7" ht="19.5" thickBot="1" x14ac:dyDescent="0.45">
      <c r="C299" s="13" t="s">
        <v>107</v>
      </c>
      <c r="D299" s="14" t="s">
        <v>105</v>
      </c>
      <c r="E299" s="15">
        <v>120</v>
      </c>
      <c r="F299" s="16">
        <v>2</v>
      </c>
    </row>
    <row r="301" spans="1:7" x14ac:dyDescent="0.4">
      <c r="A301" t="s">
        <v>108</v>
      </c>
    </row>
    <row r="302" spans="1:7" ht="19.5" thickBot="1" x14ac:dyDescent="0.45"/>
    <row r="303" spans="1:7" ht="19.5" thickBot="1" x14ac:dyDescent="0.45">
      <c r="A303" s="14" t="s">
        <v>130</v>
      </c>
      <c r="B303" s="15">
        <v>2.5</v>
      </c>
      <c r="C303" s="16">
        <v>1</v>
      </c>
    </row>
    <row r="304" spans="1:7" ht="19.5" thickBot="1" x14ac:dyDescent="0.45">
      <c r="A304" s="13" t="s">
        <v>106</v>
      </c>
    </row>
    <row r="305" spans="1:7" ht="19.5" thickBot="1" x14ac:dyDescent="0.45">
      <c r="A305" s="13" t="s">
        <v>113</v>
      </c>
      <c r="B305" s="14" t="s">
        <v>126</v>
      </c>
      <c r="C305" s="15">
        <v>2.5</v>
      </c>
      <c r="D305" s="16">
        <v>0.5</v>
      </c>
    </row>
    <row r="306" spans="1:7" ht="19.5" thickBot="1" x14ac:dyDescent="0.45">
      <c r="A306" s="13" t="s">
        <v>106</v>
      </c>
      <c r="B306" s="13" t="s">
        <v>106</v>
      </c>
    </row>
    <row r="307" spans="1:7" ht="19.5" thickBot="1" x14ac:dyDescent="0.45">
      <c r="A307" s="13" t="s">
        <v>106</v>
      </c>
      <c r="B307" s="13" t="s">
        <v>113</v>
      </c>
      <c r="C307" s="14" t="s">
        <v>120</v>
      </c>
      <c r="D307" s="15">
        <v>7.5</v>
      </c>
      <c r="E307" s="16">
        <v>0.375</v>
      </c>
    </row>
    <row r="308" spans="1:7" ht="19.5" thickBot="1" x14ac:dyDescent="0.45">
      <c r="A308" s="13" t="s">
        <v>106</v>
      </c>
      <c r="B308" s="13" t="s">
        <v>106</v>
      </c>
      <c r="C308" s="13" t="s">
        <v>106</v>
      </c>
    </row>
    <row r="309" spans="1:7" ht="19.5" thickBot="1" x14ac:dyDescent="0.45">
      <c r="A309" s="13" t="s">
        <v>106</v>
      </c>
      <c r="B309" s="13" t="s">
        <v>106</v>
      </c>
      <c r="C309" s="13" t="s">
        <v>107</v>
      </c>
      <c r="D309" s="14" t="s">
        <v>111</v>
      </c>
      <c r="E309" s="15">
        <v>11.25</v>
      </c>
      <c r="F309" s="16">
        <v>0.25</v>
      </c>
    </row>
    <row r="310" spans="1:7" ht="19.5" thickBot="1" x14ac:dyDescent="0.45">
      <c r="A310" s="13" t="s">
        <v>106</v>
      </c>
      <c r="B310" s="13" t="s">
        <v>106</v>
      </c>
      <c r="D310" s="13" t="s">
        <v>106</v>
      </c>
    </row>
    <row r="311" spans="1:7" ht="19.5" thickBot="1" x14ac:dyDescent="0.45">
      <c r="A311" s="13" t="s">
        <v>106</v>
      </c>
      <c r="B311" s="13" t="s">
        <v>106</v>
      </c>
      <c r="D311" s="13" t="s">
        <v>113</v>
      </c>
      <c r="E311" s="14" t="s">
        <v>112</v>
      </c>
      <c r="F311" s="15">
        <v>11.25</v>
      </c>
      <c r="G311" s="16">
        <v>0.1875</v>
      </c>
    </row>
    <row r="312" spans="1:7" ht="19.5" thickBot="1" x14ac:dyDescent="0.45">
      <c r="A312" s="13" t="s">
        <v>106</v>
      </c>
      <c r="B312" s="13" t="s">
        <v>106</v>
      </c>
      <c r="D312" s="13" t="s">
        <v>78</v>
      </c>
    </row>
    <row r="313" spans="1:7" ht="19.5" thickBot="1" x14ac:dyDescent="0.45">
      <c r="A313" s="13" t="s">
        <v>106</v>
      </c>
      <c r="B313" s="13" t="s">
        <v>106</v>
      </c>
      <c r="D313" s="13" t="s">
        <v>107</v>
      </c>
      <c r="E313" s="14" t="s">
        <v>105</v>
      </c>
      <c r="F313" s="15">
        <v>11.25</v>
      </c>
      <c r="G313" s="16">
        <v>0.1875</v>
      </c>
    </row>
    <row r="314" spans="1:7" ht="19.5" thickBot="1" x14ac:dyDescent="0.45">
      <c r="A314" s="13" t="s">
        <v>106</v>
      </c>
      <c r="B314" s="13" t="s">
        <v>78</v>
      </c>
    </row>
    <row r="315" spans="1:7" ht="19.5" thickBot="1" x14ac:dyDescent="0.45">
      <c r="A315" s="13" t="s">
        <v>106</v>
      </c>
      <c r="B315" s="13" t="s">
        <v>107</v>
      </c>
      <c r="C315" s="14" t="s">
        <v>121</v>
      </c>
      <c r="D315" s="15">
        <v>20</v>
      </c>
      <c r="E315" s="16">
        <v>0.66666666666666663</v>
      </c>
    </row>
    <row r="316" spans="1:7" ht="19.5" thickBot="1" x14ac:dyDescent="0.45">
      <c r="A316" s="13" t="s">
        <v>106</v>
      </c>
      <c r="C316" s="13" t="s">
        <v>106</v>
      </c>
    </row>
    <row r="317" spans="1:7" ht="19.5" thickBot="1" x14ac:dyDescent="0.45">
      <c r="A317" s="13" t="s">
        <v>106</v>
      </c>
      <c r="C317" s="13" t="s">
        <v>107</v>
      </c>
      <c r="D317" s="14" t="s">
        <v>109</v>
      </c>
      <c r="E317" s="15">
        <v>10</v>
      </c>
      <c r="F317" s="16">
        <v>0.33333333333333331</v>
      </c>
    </row>
    <row r="318" spans="1:7" ht="19.5" thickBot="1" x14ac:dyDescent="0.45">
      <c r="A318" s="13" t="s">
        <v>106</v>
      </c>
      <c r="D318" s="13" t="s">
        <v>106</v>
      </c>
    </row>
    <row r="319" spans="1:7" ht="19.5" thickBot="1" x14ac:dyDescent="0.45">
      <c r="A319" s="13" t="s">
        <v>106</v>
      </c>
      <c r="D319" s="13" t="s">
        <v>107</v>
      </c>
      <c r="E319" s="14" t="s">
        <v>110</v>
      </c>
      <c r="F319" s="15">
        <v>10</v>
      </c>
      <c r="G319" s="16">
        <v>0.16666666666666666</v>
      </c>
    </row>
    <row r="320" spans="1:7" ht="19.5" thickBot="1" x14ac:dyDescent="0.45">
      <c r="A320" s="13" t="s">
        <v>78</v>
      </c>
    </row>
    <row r="321" spans="1:7" ht="19.5" thickBot="1" x14ac:dyDescent="0.45">
      <c r="A321" s="13" t="s">
        <v>107</v>
      </c>
      <c r="B321" s="14" t="s">
        <v>122</v>
      </c>
      <c r="C321" s="15">
        <v>50</v>
      </c>
      <c r="D321" s="16">
        <v>1.6666666666666667</v>
      </c>
    </row>
    <row r="322" spans="1:7" ht="19.5" thickBot="1" x14ac:dyDescent="0.45">
      <c r="B322" s="13" t="s">
        <v>106</v>
      </c>
    </row>
    <row r="323" spans="1:7" ht="19.5" thickBot="1" x14ac:dyDescent="0.45">
      <c r="B323" s="13" t="s">
        <v>107</v>
      </c>
      <c r="C323" s="14" t="s">
        <v>121</v>
      </c>
      <c r="D323" s="15">
        <v>100</v>
      </c>
      <c r="E323" s="16">
        <v>3.3333333333333335</v>
      </c>
    </row>
    <row r="324" spans="1:7" ht="19.5" thickBot="1" x14ac:dyDescent="0.45">
      <c r="C324" s="13" t="s">
        <v>106</v>
      </c>
    </row>
    <row r="325" spans="1:7" ht="19.5" thickBot="1" x14ac:dyDescent="0.45">
      <c r="C325" s="13" t="s">
        <v>107</v>
      </c>
      <c r="D325" s="14" t="s">
        <v>109</v>
      </c>
      <c r="E325" s="15">
        <v>50</v>
      </c>
      <c r="F325" s="16">
        <v>1.6666666666666667</v>
      </c>
    </row>
    <row r="326" spans="1:7" ht="19.5" thickBot="1" x14ac:dyDescent="0.45">
      <c r="D326" s="13" t="s">
        <v>106</v>
      </c>
    </row>
    <row r="327" spans="1:7" ht="19.5" thickBot="1" x14ac:dyDescent="0.45">
      <c r="D327" s="13" t="s">
        <v>107</v>
      </c>
      <c r="E327" s="14" t="s">
        <v>110</v>
      </c>
      <c r="F327" s="15">
        <v>50</v>
      </c>
      <c r="G327" s="16">
        <v>0.83333333333333337</v>
      </c>
    </row>
    <row r="329" spans="1:7" x14ac:dyDescent="0.4">
      <c r="A329" t="s">
        <v>108</v>
      </c>
    </row>
    <row r="330" spans="1:7" ht="19.5" thickBot="1" x14ac:dyDescent="0.45"/>
    <row r="331" spans="1:7" ht="19.5" thickBot="1" x14ac:dyDescent="0.45">
      <c r="A331" s="14" t="s">
        <v>105</v>
      </c>
      <c r="B331" s="15">
        <v>60</v>
      </c>
      <c r="C331" s="16">
        <v>1</v>
      </c>
    </row>
    <row r="333" spans="1:7" x14ac:dyDescent="0.4">
      <c r="A333" t="s">
        <v>108</v>
      </c>
    </row>
    <row r="334" spans="1:7" ht="19.5" thickBot="1" x14ac:dyDescent="0.45"/>
    <row r="335" spans="1:7" ht="19.5" thickBot="1" x14ac:dyDescent="0.45">
      <c r="A335" s="14" t="s">
        <v>110</v>
      </c>
      <c r="B335" s="15">
        <v>60</v>
      </c>
      <c r="C335" s="16">
        <v>1</v>
      </c>
    </row>
    <row r="337" spans="1:3" x14ac:dyDescent="0.4">
      <c r="A337" t="s">
        <v>108</v>
      </c>
    </row>
    <row r="338" spans="1:3" ht="19.5" thickBot="1" x14ac:dyDescent="0.45"/>
    <row r="339" spans="1:3" ht="19.5" thickBot="1" x14ac:dyDescent="0.45">
      <c r="A339" s="14" t="s">
        <v>105</v>
      </c>
      <c r="B339" s="15">
        <v>60</v>
      </c>
      <c r="C339" s="16">
        <v>1</v>
      </c>
    </row>
    <row r="341" spans="1:3" x14ac:dyDescent="0.4">
      <c r="A341" t="s">
        <v>108</v>
      </c>
    </row>
    <row r="342" spans="1:3" ht="19.5" thickBot="1" x14ac:dyDescent="0.45"/>
    <row r="343" spans="1:3" ht="19.5" thickBot="1" x14ac:dyDescent="0.45">
      <c r="A343" s="14" t="s">
        <v>124</v>
      </c>
      <c r="B343" s="15">
        <v>60</v>
      </c>
      <c r="C343" s="16">
        <v>1</v>
      </c>
    </row>
    <row r="345" spans="1:3" x14ac:dyDescent="0.4">
      <c r="A345" t="s">
        <v>108</v>
      </c>
    </row>
    <row r="346" spans="1:3" ht="19.5" thickBot="1" x14ac:dyDescent="0.45"/>
    <row r="347" spans="1:3" ht="19.5" thickBot="1" x14ac:dyDescent="0.45">
      <c r="A347" s="14" t="s">
        <v>112</v>
      </c>
      <c r="B347" s="15">
        <v>60</v>
      </c>
      <c r="C347" s="16">
        <v>1</v>
      </c>
    </row>
    <row r="349" spans="1:3" x14ac:dyDescent="0.4">
      <c r="A349" t="s">
        <v>108</v>
      </c>
    </row>
    <row r="350" spans="1:3" ht="19.5" thickBot="1" x14ac:dyDescent="0.45"/>
    <row r="351" spans="1:3" ht="19.5" thickBot="1" x14ac:dyDescent="0.45">
      <c r="A351" s="14" t="s">
        <v>79</v>
      </c>
      <c r="B351" s="15">
        <v>2</v>
      </c>
      <c r="C351" s="16">
        <v>1</v>
      </c>
    </row>
    <row r="352" spans="1:3" ht="19.5" thickBot="1" x14ac:dyDescent="0.45">
      <c r="A352" s="13" t="s">
        <v>64</v>
      </c>
    </row>
    <row r="353" spans="1:8" ht="19.5" thickBot="1" x14ac:dyDescent="0.45">
      <c r="A353" s="13" t="s">
        <v>66</v>
      </c>
      <c r="B353" s="14" t="s">
        <v>3</v>
      </c>
      <c r="C353" s="15">
        <v>10</v>
      </c>
      <c r="D353" s="16">
        <v>5</v>
      </c>
    </row>
    <row r="354" spans="1:8" ht="19.5" thickBot="1" x14ac:dyDescent="0.45">
      <c r="A354" s="13" t="s">
        <v>64</v>
      </c>
      <c r="B354" s="13" t="s">
        <v>64</v>
      </c>
    </row>
    <row r="355" spans="1:8" ht="19.5" thickBot="1" x14ac:dyDescent="0.45">
      <c r="A355" s="13" t="s">
        <v>64</v>
      </c>
      <c r="B355" s="13" t="s">
        <v>66</v>
      </c>
      <c r="C355" s="14" t="s">
        <v>39</v>
      </c>
      <c r="D355" s="15">
        <v>15</v>
      </c>
      <c r="E355" s="16">
        <v>3</v>
      </c>
    </row>
    <row r="356" spans="1:8" ht="19.5" thickBot="1" x14ac:dyDescent="0.45">
      <c r="A356" s="13" t="s">
        <v>64</v>
      </c>
      <c r="B356" s="13" t="s">
        <v>64</v>
      </c>
      <c r="C356" s="13" t="s">
        <v>64</v>
      </c>
    </row>
    <row r="357" spans="1:8" ht="19.5" thickBot="1" x14ac:dyDescent="0.45">
      <c r="A357" s="13" t="s">
        <v>64</v>
      </c>
      <c r="B357" s="13" t="s">
        <v>64</v>
      </c>
      <c r="C357" s="13" t="s">
        <v>66</v>
      </c>
      <c r="D357" s="14" t="s">
        <v>0</v>
      </c>
      <c r="E357" s="15">
        <v>90</v>
      </c>
      <c r="F357" s="16">
        <v>4.5</v>
      </c>
    </row>
    <row r="358" spans="1:8" ht="19.5" thickBot="1" x14ac:dyDescent="0.45">
      <c r="A358" s="13" t="s">
        <v>64</v>
      </c>
      <c r="B358" s="13" t="s">
        <v>64</v>
      </c>
      <c r="C358" s="13" t="s">
        <v>64</v>
      </c>
      <c r="D358" s="13" t="s">
        <v>64</v>
      </c>
    </row>
    <row r="359" spans="1:8" ht="19.5" thickBot="1" x14ac:dyDescent="0.45">
      <c r="A359" s="13" t="s">
        <v>64</v>
      </c>
      <c r="B359" s="13" t="s">
        <v>64</v>
      </c>
      <c r="C359" s="13" t="s">
        <v>64</v>
      </c>
      <c r="D359" s="13" t="s">
        <v>65</v>
      </c>
      <c r="E359" s="14" t="s">
        <v>34</v>
      </c>
      <c r="F359" s="15">
        <v>135</v>
      </c>
      <c r="G359" s="16">
        <v>4.5</v>
      </c>
    </row>
    <row r="360" spans="1:8" ht="19.5" thickBot="1" x14ac:dyDescent="0.45">
      <c r="A360" s="13" t="s">
        <v>64</v>
      </c>
      <c r="B360" s="13" t="s">
        <v>64</v>
      </c>
      <c r="C360" s="13" t="s">
        <v>64</v>
      </c>
      <c r="E360" s="13" t="s">
        <v>64</v>
      </c>
    </row>
    <row r="361" spans="1:8" ht="19.5" thickBot="1" x14ac:dyDescent="0.45">
      <c r="A361" s="13" t="s">
        <v>64</v>
      </c>
      <c r="B361" s="13" t="s">
        <v>64</v>
      </c>
      <c r="C361" s="13" t="s">
        <v>64</v>
      </c>
      <c r="E361" s="13" t="s">
        <v>65</v>
      </c>
      <c r="F361" s="14" t="s">
        <v>33</v>
      </c>
      <c r="G361" s="15">
        <v>135</v>
      </c>
      <c r="H361" s="16">
        <v>2.25</v>
      </c>
    </row>
    <row r="362" spans="1:8" ht="19.5" thickBot="1" x14ac:dyDescent="0.45">
      <c r="A362" s="13" t="s">
        <v>64</v>
      </c>
      <c r="B362" s="13" t="s">
        <v>64</v>
      </c>
      <c r="C362" s="13" t="s">
        <v>106</v>
      </c>
    </row>
    <row r="363" spans="1:8" ht="19.5" thickBot="1" x14ac:dyDescent="0.45">
      <c r="A363" s="13" t="s">
        <v>64</v>
      </c>
      <c r="B363" s="13" t="s">
        <v>64</v>
      </c>
      <c r="C363" s="13" t="s">
        <v>65</v>
      </c>
      <c r="D363" s="14" t="s">
        <v>36</v>
      </c>
      <c r="E363" s="15">
        <v>180</v>
      </c>
      <c r="F363" s="16">
        <v>4.5</v>
      </c>
    </row>
    <row r="364" spans="1:8" ht="19.5" thickBot="1" x14ac:dyDescent="0.45">
      <c r="A364" s="13" t="s">
        <v>64</v>
      </c>
      <c r="B364" s="13" t="s">
        <v>64</v>
      </c>
      <c r="D364" s="13" t="s">
        <v>64</v>
      </c>
    </row>
    <row r="365" spans="1:8" ht="19.5" thickBot="1" x14ac:dyDescent="0.45">
      <c r="A365" s="13" t="s">
        <v>64</v>
      </c>
      <c r="B365" s="13" t="s">
        <v>64</v>
      </c>
      <c r="D365" s="13" t="s">
        <v>65</v>
      </c>
      <c r="E365" s="14" t="s">
        <v>5</v>
      </c>
      <c r="F365" s="15">
        <v>45</v>
      </c>
      <c r="G365" s="16">
        <v>3</v>
      </c>
    </row>
    <row r="366" spans="1:8" ht="19.5" thickBot="1" x14ac:dyDescent="0.45">
      <c r="A366" s="13" t="s">
        <v>64</v>
      </c>
      <c r="B366" s="13" t="s">
        <v>64</v>
      </c>
      <c r="E366" s="13" t="s">
        <v>64</v>
      </c>
    </row>
    <row r="367" spans="1:8" ht="19.5" thickBot="1" x14ac:dyDescent="0.45">
      <c r="A367" s="13" t="s">
        <v>64</v>
      </c>
      <c r="B367" s="13" t="s">
        <v>64</v>
      </c>
      <c r="E367" s="13" t="s">
        <v>65</v>
      </c>
      <c r="F367" s="14" t="s">
        <v>34</v>
      </c>
      <c r="G367" s="15">
        <v>45</v>
      </c>
      <c r="H367" s="16">
        <v>1.5</v>
      </c>
    </row>
    <row r="368" spans="1:8" ht="19.5" thickBot="1" x14ac:dyDescent="0.45">
      <c r="A368" s="13" t="s">
        <v>64</v>
      </c>
      <c r="B368" s="13" t="s">
        <v>64</v>
      </c>
      <c r="F368" s="13" t="s">
        <v>64</v>
      </c>
    </row>
    <row r="369" spans="1:9" ht="19.5" thickBot="1" x14ac:dyDescent="0.45">
      <c r="A369" s="13" t="s">
        <v>64</v>
      </c>
      <c r="B369" s="13" t="s">
        <v>64</v>
      </c>
      <c r="F369" s="13" t="s">
        <v>65</v>
      </c>
      <c r="G369" s="14" t="s">
        <v>33</v>
      </c>
      <c r="H369" s="15">
        <v>45</v>
      </c>
      <c r="I369" s="16">
        <v>0.75</v>
      </c>
    </row>
    <row r="370" spans="1:9" ht="19.5" thickBot="1" x14ac:dyDescent="0.45">
      <c r="A370" s="13" t="s">
        <v>64</v>
      </c>
      <c r="B370" s="13" t="s">
        <v>106</v>
      </c>
    </row>
    <row r="371" spans="1:9" ht="19.5" thickBot="1" x14ac:dyDescent="0.45">
      <c r="A371" s="13" t="s">
        <v>64</v>
      </c>
      <c r="B371" s="13" t="s">
        <v>65</v>
      </c>
      <c r="C371" s="14" t="s">
        <v>5</v>
      </c>
      <c r="D371" s="15">
        <v>60</v>
      </c>
      <c r="E371" s="16">
        <v>4</v>
      </c>
    </row>
    <row r="372" spans="1:9" ht="19.5" thickBot="1" x14ac:dyDescent="0.45">
      <c r="A372" s="13" t="s">
        <v>64</v>
      </c>
      <c r="C372" s="13" t="s">
        <v>64</v>
      </c>
    </row>
    <row r="373" spans="1:9" ht="19.5" thickBot="1" x14ac:dyDescent="0.45">
      <c r="A373" s="13" t="s">
        <v>64</v>
      </c>
      <c r="C373" s="13" t="s">
        <v>65</v>
      </c>
      <c r="D373" s="14" t="s">
        <v>34</v>
      </c>
      <c r="E373" s="15">
        <v>60</v>
      </c>
      <c r="F373" s="16">
        <v>2</v>
      </c>
    </row>
    <row r="374" spans="1:9" ht="19.5" thickBot="1" x14ac:dyDescent="0.45">
      <c r="A374" s="13" t="s">
        <v>64</v>
      </c>
      <c r="D374" s="13" t="s">
        <v>64</v>
      </c>
    </row>
    <row r="375" spans="1:9" ht="19.5" thickBot="1" x14ac:dyDescent="0.45">
      <c r="A375" s="13" t="s">
        <v>64</v>
      </c>
      <c r="D375" s="13" t="s">
        <v>65</v>
      </c>
      <c r="E375" s="14" t="s">
        <v>33</v>
      </c>
      <c r="F375" s="15">
        <v>60</v>
      </c>
      <c r="G375" s="16">
        <v>1</v>
      </c>
    </row>
    <row r="376" spans="1:9" ht="19.5" thickBot="1" x14ac:dyDescent="0.45">
      <c r="A376" s="13" t="s">
        <v>106</v>
      </c>
    </row>
    <row r="377" spans="1:9" ht="19.5" thickBot="1" x14ac:dyDescent="0.45">
      <c r="A377" s="13" t="s">
        <v>66</v>
      </c>
      <c r="B377" s="14" t="s">
        <v>2</v>
      </c>
      <c r="C377" s="15">
        <v>30</v>
      </c>
      <c r="D377" s="16">
        <v>1.5</v>
      </c>
    </row>
    <row r="378" spans="1:9" ht="19.5" thickBot="1" x14ac:dyDescent="0.45">
      <c r="A378" s="13" t="s">
        <v>64</v>
      </c>
      <c r="B378" s="13" t="s">
        <v>64</v>
      </c>
    </row>
    <row r="379" spans="1:9" ht="19.5" thickBot="1" x14ac:dyDescent="0.45">
      <c r="A379" s="13" t="s">
        <v>64</v>
      </c>
      <c r="B379" s="13" t="s">
        <v>65</v>
      </c>
      <c r="C379" s="14" t="s">
        <v>43</v>
      </c>
      <c r="D379" s="15">
        <v>45</v>
      </c>
      <c r="E379" s="16">
        <v>1</v>
      </c>
    </row>
    <row r="380" spans="1:9" ht="19.5" thickBot="1" x14ac:dyDescent="0.45">
      <c r="A380" s="13" t="s">
        <v>64</v>
      </c>
      <c r="C380" s="13" t="s">
        <v>64</v>
      </c>
    </row>
    <row r="381" spans="1:9" ht="19.5" thickBot="1" x14ac:dyDescent="0.45">
      <c r="A381" s="13" t="s">
        <v>64</v>
      </c>
      <c r="C381" s="13" t="s">
        <v>66</v>
      </c>
      <c r="D381" s="14" t="s">
        <v>62</v>
      </c>
      <c r="E381" s="15">
        <v>45</v>
      </c>
      <c r="F381" s="16">
        <v>0.75</v>
      </c>
    </row>
    <row r="382" spans="1:9" ht="19.5" thickBot="1" x14ac:dyDescent="0.45">
      <c r="A382" s="13" t="s">
        <v>64</v>
      </c>
      <c r="C382" s="13" t="s">
        <v>106</v>
      </c>
    </row>
    <row r="383" spans="1:9" ht="19.5" thickBot="1" x14ac:dyDescent="0.45">
      <c r="A383" s="13" t="s">
        <v>64</v>
      </c>
      <c r="C383" s="13" t="s">
        <v>65</v>
      </c>
      <c r="D383" s="14" t="s">
        <v>33</v>
      </c>
      <c r="E383" s="15">
        <v>45</v>
      </c>
      <c r="F383" s="16">
        <v>0.75</v>
      </c>
    </row>
    <row r="384" spans="1:9" ht="19.5" thickBot="1" x14ac:dyDescent="0.45">
      <c r="A384" s="13" t="s">
        <v>106</v>
      </c>
    </row>
    <row r="385" spans="1:7" ht="19.5" thickBot="1" x14ac:dyDescent="0.45">
      <c r="A385" s="13" t="s">
        <v>66</v>
      </c>
      <c r="B385" s="14" t="s">
        <v>47</v>
      </c>
      <c r="C385" s="15">
        <v>10</v>
      </c>
      <c r="D385" s="16">
        <v>1.6666666666666667</v>
      </c>
    </row>
    <row r="386" spans="1:7" ht="19.5" thickBot="1" x14ac:dyDescent="0.45">
      <c r="A386" s="13" t="s">
        <v>64</v>
      </c>
      <c r="B386" s="13" t="s">
        <v>64</v>
      </c>
    </row>
    <row r="387" spans="1:7" ht="19.5" thickBot="1" x14ac:dyDescent="0.45">
      <c r="A387" s="13" t="s">
        <v>64</v>
      </c>
      <c r="B387" s="13" t="s">
        <v>66</v>
      </c>
      <c r="C387" s="14" t="s">
        <v>42</v>
      </c>
      <c r="D387" s="15">
        <v>40</v>
      </c>
      <c r="E387" s="16">
        <v>2.6666666666666665</v>
      </c>
    </row>
    <row r="388" spans="1:7" ht="19.5" thickBot="1" x14ac:dyDescent="0.45">
      <c r="A388" s="13" t="s">
        <v>64</v>
      </c>
      <c r="B388" s="13" t="s">
        <v>64</v>
      </c>
      <c r="C388" s="13" t="s">
        <v>64</v>
      </c>
    </row>
    <row r="389" spans="1:7" ht="19.5" thickBot="1" x14ac:dyDescent="0.45">
      <c r="A389" s="13" t="s">
        <v>64</v>
      </c>
      <c r="B389" s="13" t="s">
        <v>64</v>
      </c>
      <c r="C389" s="13" t="s">
        <v>65</v>
      </c>
      <c r="D389" s="14" t="s">
        <v>43</v>
      </c>
      <c r="E389" s="15">
        <v>160</v>
      </c>
      <c r="F389" s="16">
        <v>3.5555555555555558</v>
      </c>
    </row>
    <row r="390" spans="1:7" ht="19.5" thickBot="1" x14ac:dyDescent="0.45">
      <c r="A390" s="13" t="s">
        <v>64</v>
      </c>
      <c r="B390" s="13" t="s">
        <v>64</v>
      </c>
      <c r="D390" s="13" t="s">
        <v>64</v>
      </c>
    </row>
    <row r="391" spans="1:7" ht="19.5" thickBot="1" x14ac:dyDescent="0.45">
      <c r="A391" s="13" t="s">
        <v>64</v>
      </c>
      <c r="B391" s="13" t="s">
        <v>64</v>
      </c>
      <c r="D391" s="13" t="s">
        <v>66</v>
      </c>
      <c r="E391" s="14" t="s">
        <v>62</v>
      </c>
      <c r="F391" s="15">
        <v>160</v>
      </c>
      <c r="G391" s="16">
        <v>2.6666666666666665</v>
      </c>
    </row>
    <row r="392" spans="1:7" ht="19.5" thickBot="1" x14ac:dyDescent="0.45">
      <c r="A392" s="13" t="s">
        <v>64</v>
      </c>
      <c r="B392" s="13" t="s">
        <v>64</v>
      </c>
      <c r="D392" s="13" t="s">
        <v>106</v>
      </c>
    </row>
    <row r="393" spans="1:7" ht="19.5" thickBot="1" x14ac:dyDescent="0.45">
      <c r="A393" s="13" t="s">
        <v>64</v>
      </c>
      <c r="B393" s="13" t="s">
        <v>64</v>
      </c>
      <c r="D393" s="13" t="s">
        <v>65</v>
      </c>
      <c r="E393" s="14" t="s">
        <v>33</v>
      </c>
      <c r="F393" s="15">
        <v>160</v>
      </c>
      <c r="G393" s="16">
        <v>2.6666666666666665</v>
      </c>
    </row>
    <row r="394" spans="1:7" ht="19.5" thickBot="1" x14ac:dyDescent="0.45">
      <c r="A394" s="13" t="s">
        <v>64</v>
      </c>
      <c r="B394" s="13" t="s">
        <v>106</v>
      </c>
    </row>
    <row r="395" spans="1:7" ht="19.5" thickBot="1" x14ac:dyDescent="0.45">
      <c r="A395" s="13" t="s">
        <v>64</v>
      </c>
      <c r="B395" s="13" t="s">
        <v>65</v>
      </c>
      <c r="C395" s="14" t="s">
        <v>1</v>
      </c>
      <c r="D395" s="15">
        <v>50</v>
      </c>
      <c r="E395" s="16">
        <v>3.3333333333333335</v>
      </c>
    </row>
    <row r="396" spans="1:7" ht="19.5" thickBot="1" x14ac:dyDescent="0.45">
      <c r="A396" s="13" t="s">
        <v>64</v>
      </c>
      <c r="C396" s="13" t="s">
        <v>64</v>
      </c>
    </row>
    <row r="397" spans="1:7" ht="19.5" thickBot="1" x14ac:dyDescent="0.45">
      <c r="A397" s="13" t="s">
        <v>64</v>
      </c>
      <c r="C397" s="13" t="s">
        <v>65</v>
      </c>
      <c r="D397" s="14" t="s">
        <v>46</v>
      </c>
      <c r="E397" s="15">
        <v>150</v>
      </c>
      <c r="F397" s="16">
        <v>2.5</v>
      </c>
    </row>
    <row r="398" spans="1:7" ht="19.5" thickBot="1" x14ac:dyDescent="0.45">
      <c r="A398" s="13" t="s">
        <v>106</v>
      </c>
    </row>
    <row r="399" spans="1:7" ht="19.5" thickBot="1" x14ac:dyDescent="0.45">
      <c r="A399" s="13" t="s">
        <v>65</v>
      </c>
      <c r="B399" s="14" t="s">
        <v>36</v>
      </c>
      <c r="C399" s="15">
        <v>200</v>
      </c>
      <c r="D399" s="16">
        <v>5</v>
      </c>
    </row>
    <row r="400" spans="1:7" ht="19.5" thickBot="1" x14ac:dyDescent="0.45">
      <c r="B400" s="13" t="s">
        <v>64</v>
      </c>
    </row>
    <row r="401" spans="1:7" ht="19.5" thickBot="1" x14ac:dyDescent="0.45">
      <c r="B401" s="13" t="s">
        <v>65</v>
      </c>
      <c r="C401" s="14" t="s">
        <v>5</v>
      </c>
      <c r="D401" s="15">
        <v>50</v>
      </c>
      <c r="E401" s="16">
        <v>3.3333333333333335</v>
      </c>
    </row>
    <row r="402" spans="1:7" ht="19.5" thickBot="1" x14ac:dyDescent="0.45">
      <c r="C402" s="13" t="s">
        <v>64</v>
      </c>
    </row>
    <row r="403" spans="1:7" ht="19.5" thickBot="1" x14ac:dyDescent="0.45">
      <c r="C403" s="13" t="s">
        <v>65</v>
      </c>
      <c r="D403" s="14" t="s">
        <v>34</v>
      </c>
      <c r="E403" s="15">
        <v>50</v>
      </c>
      <c r="F403" s="16">
        <v>1.6666666666666667</v>
      </c>
    </row>
    <row r="404" spans="1:7" ht="19.5" thickBot="1" x14ac:dyDescent="0.45">
      <c r="D404" s="13" t="s">
        <v>64</v>
      </c>
    </row>
    <row r="405" spans="1:7" ht="19.5" thickBot="1" x14ac:dyDescent="0.45">
      <c r="D405" s="13" t="s">
        <v>65</v>
      </c>
      <c r="E405" s="14" t="s">
        <v>33</v>
      </c>
      <c r="F405" s="15">
        <v>50</v>
      </c>
      <c r="G405" s="16">
        <v>0.83333333333333337</v>
      </c>
    </row>
    <row r="407" spans="1:7" x14ac:dyDescent="0.4">
      <c r="A407" t="s">
        <v>63</v>
      </c>
    </row>
    <row r="408" spans="1:7" ht="19.5" thickBot="1" x14ac:dyDescent="0.45"/>
    <row r="409" spans="1:7" ht="19.5" thickBot="1" x14ac:dyDescent="0.45">
      <c r="A409" s="14" t="s">
        <v>85</v>
      </c>
      <c r="B409" s="15">
        <v>7.5</v>
      </c>
      <c r="C409" s="16">
        <v>1</v>
      </c>
    </row>
    <row r="410" spans="1:7" ht="19.5" thickBot="1" x14ac:dyDescent="0.45">
      <c r="A410" s="13" t="s">
        <v>64</v>
      </c>
    </row>
    <row r="411" spans="1:7" ht="19.5" thickBot="1" x14ac:dyDescent="0.45">
      <c r="A411" s="13" t="s">
        <v>66</v>
      </c>
      <c r="B411" s="14" t="s">
        <v>40</v>
      </c>
      <c r="C411" s="15">
        <v>15</v>
      </c>
      <c r="D411" s="16">
        <v>1.5</v>
      </c>
    </row>
    <row r="412" spans="1:7" ht="19.5" thickBot="1" x14ac:dyDescent="0.45">
      <c r="A412" s="13" t="s">
        <v>64</v>
      </c>
      <c r="B412" s="13" t="s">
        <v>64</v>
      </c>
    </row>
    <row r="413" spans="1:7" ht="19.5" thickBot="1" x14ac:dyDescent="0.45">
      <c r="A413" s="13" t="s">
        <v>64</v>
      </c>
      <c r="B413" s="13" t="s">
        <v>65</v>
      </c>
      <c r="C413" s="14" t="s">
        <v>41</v>
      </c>
      <c r="D413" s="15">
        <v>30</v>
      </c>
      <c r="E413" s="16">
        <v>1</v>
      </c>
    </row>
    <row r="414" spans="1:7" ht="19.5" thickBot="1" x14ac:dyDescent="0.45">
      <c r="A414" s="13" t="s">
        <v>64</v>
      </c>
      <c r="C414" s="13" t="s">
        <v>64</v>
      </c>
    </row>
    <row r="415" spans="1:7" ht="19.5" thickBot="1" x14ac:dyDescent="0.45">
      <c r="A415" s="13" t="s">
        <v>64</v>
      </c>
      <c r="C415" s="13" t="s">
        <v>65</v>
      </c>
      <c r="D415" s="14" t="s">
        <v>55</v>
      </c>
      <c r="E415" s="15">
        <v>30</v>
      </c>
      <c r="F415" s="16">
        <v>0.5</v>
      </c>
    </row>
    <row r="416" spans="1:7" ht="19.5" thickBot="1" x14ac:dyDescent="0.45">
      <c r="A416" s="13" t="s">
        <v>106</v>
      </c>
    </row>
    <row r="417" spans="1:5" ht="19.5" thickBot="1" x14ac:dyDescent="0.45">
      <c r="A417" s="13" t="s">
        <v>65</v>
      </c>
      <c r="B417" s="14" t="s">
        <v>88</v>
      </c>
      <c r="C417" s="15">
        <v>30</v>
      </c>
      <c r="D417" s="16">
        <v>1.5</v>
      </c>
    </row>
    <row r="418" spans="1:5" ht="19.5" thickBot="1" x14ac:dyDescent="0.45">
      <c r="B418" s="13" t="s">
        <v>64</v>
      </c>
    </row>
    <row r="419" spans="1:5" ht="19.5" thickBot="1" x14ac:dyDescent="0.45">
      <c r="B419" s="13" t="s">
        <v>65</v>
      </c>
      <c r="C419" s="14" t="s">
        <v>90</v>
      </c>
      <c r="D419" s="15">
        <v>45</v>
      </c>
      <c r="E419" s="16">
        <v>0.75</v>
      </c>
    </row>
    <row r="421" spans="1:5" x14ac:dyDescent="0.4">
      <c r="A421" t="s">
        <v>63</v>
      </c>
    </row>
    <row r="422" spans="1:5" ht="19.5" thickBot="1" x14ac:dyDescent="0.45"/>
    <row r="423" spans="1:5" ht="19.5" thickBot="1" x14ac:dyDescent="0.45">
      <c r="A423" s="14" t="s">
        <v>88</v>
      </c>
      <c r="B423" s="15">
        <v>20</v>
      </c>
      <c r="C423" s="16">
        <v>1</v>
      </c>
    </row>
    <row r="424" spans="1:5" ht="19.5" thickBot="1" x14ac:dyDescent="0.45">
      <c r="A424" s="13" t="s">
        <v>64</v>
      </c>
    </row>
    <row r="425" spans="1:5" ht="19.5" thickBot="1" x14ac:dyDescent="0.45">
      <c r="A425" s="13" t="s">
        <v>65</v>
      </c>
      <c r="B425" s="14" t="s">
        <v>90</v>
      </c>
      <c r="C425" s="15">
        <v>30</v>
      </c>
      <c r="D425" s="16">
        <v>0.5</v>
      </c>
    </row>
    <row r="427" spans="1:5" x14ac:dyDescent="0.4">
      <c r="A427" t="s">
        <v>63</v>
      </c>
    </row>
    <row r="428" spans="1:5" ht="19.5" thickBot="1" x14ac:dyDescent="0.45"/>
    <row r="429" spans="1:5" ht="19.5" thickBot="1" x14ac:dyDescent="0.45">
      <c r="A429" s="14" t="s">
        <v>90</v>
      </c>
      <c r="B429" s="15">
        <v>60</v>
      </c>
      <c r="C429" s="16">
        <v>1</v>
      </c>
    </row>
    <row r="431" spans="1:5" x14ac:dyDescent="0.4">
      <c r="A431" t="s">
        <v>63</v>
      </c>
    </row>
    <row r="432" spans="1:5" ht="19.5" thickBot="1" x14ac:dyDescent="0.45"/>
    <row r="433" spans="1:7" ht="19.5" thickBot="1" x14ac:dyDescent="0.45">
      <c r="A433" s="14" t="s">
        <v>94</v>
      </c>
      <c r="B433" s="15">
        <v>20</v>
      </c>
      <c r="C433" s="16">
        <v>1</v>
      </c>
    </row>
    <row r="434" spans="1:7" ht="19.5" thickBot="1" x14ac:dyDescent="0.45">
      <c r="A434" s="13" t="s">
        <v>64</v>
      </c>
    </row>
    <row r="435" spans="1:7" ht="19.5" thickBot="1" x14ac:dyDescent="0.45">
      <c r="A435" s="13" t="s">
        <v>65</v>
      </c>
      <c r="B435" s="14" t="s">
        <v>90</v>
      </c>
      <c r="C435" s="15">
        <v>30</v>
      </c>
      <c r="D435" s="16">
        <v>0.5</v>
      </c>
    </row>
    <row r="437" spans="1:7" x14ac:dyDescent="0.4">
      <c r="A437" t="s">
        <v>63</v>
      </c>
    </row>
    <row r="438" spans="1:7" ht="19.5" thickBot="1" x14ac:dyDescent="0.45"/>
    <row r="439" spans="1:7" ht="19.5" thickBot="1" x14ac:dyDescent="0.45">
      <c r="A439" s="14" t="s">
        <v>96</v>
      </c>
      <c r="B439" s="15">
        <v>2.5</v>
      </c>
      <c r="C439" s="16">
        <v>1</v>
      </c>
    </row>
    <row r="440" spans="1:7" ht="19.5" thickBot="1" x14ac:dyDescent="0.45">
      <c r="A440" s="13" t="s">
        <v>64</v>
      </c>
    </row>
    <row r="441" spans="1:7" ht="19.5" thickBot="1" x14ac:dyDescent="0.45">
      <c r="A441" s="13" t="s">
        <v>66</v>
      </c>
      <c r="B441" s="14" t="s">
        <v>85</v>
      </c>
      <c r="C441" s="15">
        <v>25</v>
      </c>
      <c r="D441" s="16">
        <v>3.3333333333333335</v>
      </c>
    </row>
    <row r="442" spans="1:7" ht="19.5" thickBot="1" x14ac:dyDescent="0.45">
      <c r="A442" s="13" t="s">
        <v>64</v>
      </c>
      <c r="B442" s="13" t="s">
        <v>64</v>
      </c>
    </row>
    <row r="443" spans="1:7" ht="19.5" thickBot="1" x14ac:dyDescent="0.45">
      <c r="A443" s="13" t="s">
        <v>64</v>
      </c>
      <c r="B443" s="13" t="s">
        <v>66</v>
      </c>
      <c r="C443" s="14" t="s">
        <v>40</v>
      </c>
      <c r="D443" s="15">
        <v>50</v>
      </c>
      <c r="E443" s="16">
        <v>5</v>
      </c>
    </row>
    <row r="444" spans="1:7" ht="19.5" thickBot="1" x14ac:dyDescent="0.45">
      <c r="A444" s="13" t="s">
        <v>64</v>
      </c>
      <c r="B444" s="13" t="s">
        <v>64</v>
      </c>
      <c r="C444" s="13" t="s">
        <v>64</v>
      </c>
    </row>
    <row r="445" spans="1:7" ht="19.5" thickBot="1" x14ac:dyDescent="0.45">
      <c r="A445" s="13" t="s">
        <v>64</v>
      </c>
      <c r="B445" s="13" t="s">
        <v>64</v>
      </c>
      <c r="C445" s="13" t="s">
        <v>65</v>
      </c>
      <c r="D445" s="14" t="s">
        <v>41</v>
      </c>
      <c r="E445" s="15">
        <v>100</v>
      </c>
      <c r="F445" s="16">
        <v>3.3333333333333335</v>
      </c>
    </row>
    <row r="446" spans="1:7" ht="19.5" thickBot="1" x14ac:dyDescent="0.45">
      <c r="A446" s="13" t="s">
        <v>64</v>
      </c>
      <c r="B446" s="13" t="s">
        <v>64</v>
      </c>
      <c r="D446" s="13" t="s">
        <v>64</v>
      </c>
    </row>
    <row r="447" spans="1:7" ht="19.5" thickBot="1" x14ac:dyDescent="0.45">
      <c r="A447" s="13" t="s">
        <v>64</v>
      </c>
      <c r="B447" s="13" t="s">
        <v>64</v>
      </c>
      <c r="D447" s="13" t="s">
        <v>65</v>
      </c>
      <c r="E447" s="14" t="s">
        <v>55</v>
      </c>
      <c r="F447" s="15">
        <v>100</v>
      </c>
      <c r="G447" s="16">
        <v>1.6666666666666667</v>
      </c>
    </row>
    <row r="448" spans="1:7" ht="19.5" thickBot="1" x14ac:dyDescent="0.45">
      <c r="A448" s="13" t="s">
        <v>64</v>
      </c>
      <c r="B448" s="13" t="s">
        <v>106</v>
      </c>
    </row>
    <row r="449" spans="1:6" ht="19.5" thickBot="1" x14ac:dyDescent="0.45">
      <c r="A449" s="13" t="s">
        <v>64</v>
      </c>
      <c r="B449" s="13" t="s">
        <v>65</v>
      </c>
      <c r="C449" s="14" t="s">
        <v>88</v>
      </c>
      <c r="D449" s="15">
        <v>100</v>
      </c>
      <c r="E449" s="16">
        <v>5</v>
      </c>
    </row>
    <row r="450" spans="1:6" ht="19.5" thickBot="1" x14ac:dyDescent="0.45">
      <c r="A450" s="13" t="s">
        <v>64</v>
      </c>
      <c r="C450" s="13" t="s">
        <v>64</v>
      </c>
    </row>
    <row r="451" spans="1:6" ht="19.5" thickBot="1" x14ac:dyDescent="0.45">
      <c r="A451" s="13" t="s">
        <v>64</v>
      </c>
      <c r="C451" s="13" t="s">
        <v>65</v>
      </c>
      <c r="D451" s="14" t="s">
        <v>90</v>
      </c>
      <c r="E451" s="15">
        <v>150</v>
      </c>
      <c r="F451" s="16">
        <v>2.5</v>
      </c>
    </row>
    <row r="452" spans="1:6" ht="19.5" thickBot="1" x14ac:dyDescent="0.45">
      <c r="A452" s="13" t="s">
        <v>106</v>
      </c>
    </row>
    <row r="453" spans="1:6" ht="19.5" thickBot="1" x14ac:dyDescent="0.45">
      <c r="A453" s="13" t="s">
        <v>66</v>
      </c>
      <c r="B453" s="14" t="s">
        <v>44</v>
      </c>
      <c r="C453" s="15">
        <v>22.5</v>
      </c>
      <c r="D453" s="16">
        <v>0.75</v>
      </c>
    </row>
    <row r="454" spans="1:6" ht="19.5" thickBot="1" x14ac:dyDescent="0.45">
      <c r="A454" s="13" t="s">
        <v>64</v>
      </c>
      <c r="B454" s="13" t="s">
        <v>64</v>
      </c>
    </row>
    <row r="455" spans="1:6" ht="19.5" thickBot="1" x14ac:dyDescent="0.45">
      <c r="A455" s="13" t="s">
        <v>64</v>
      </c>
      <c r="B455" s="13" t="s">
        <v>65</v>
      </c>
      <c r="C455" s="14" t="s">
        <v>41</v>
      </c>
      <c r="D455" s="15">
        <v>11.25</v>
      </c>
      <c r="E455" s="16">
        <v>0.375</v>
      </c>
    </row>
    <row r="456" spans="1:6" ht="19.5" thickBot="1" x14ac:dyDescent="0.45">
      <c r="A456" s="13" t="s">
        <v>64</v>
      </c>
      <c r="C456" s="13" t="s">
        <v>64</v>
      </c>
    </row>
    <row r="457" spans="1:6" ht="19.5" thickBot="1" x14ac:dyDescent="0.45">
      <c r="A457" s="13" t="s">
        <v>64</v>
      </c>
      <c r="C457" s="13" t="s">
        <v>65</v>
      </c>
      <c r="D457" s="14" t="s">
        <v>55</v>
      </c>
      <c r="E457" s="15">
        <v>11.25</v>
      </c>
      <c r="F457" s="16">
        <v>0.1875</v>
      </c>
    </row>
    <row r="458" spans="1:6" ht="19.5" thickBot="1" x14ac:dyDescent="0.45">
      <c r="A458" s="13" t="s">
        <v>106</v>
      </c>
    </row>
    <row r="459" spans="1:6" ht="19.5" thickBot="1" x14ac:dyDescent="0.45">
      <c r="A459" s="13" t="s">
        <v>66</v>
      </c>
      <c r="B459" s="14" t="s">
        <v>88</v>
      </c>
      <c r="C459" s="15">
        <v>45</v>
      </c>
      <c r="D459" s="16">
        <v>2.25</v>
      </c>
    </row>
    <row r="460" spans="1:6" ht="19.5" thickBot="1" x14ac:dyDescent="0.45">
      <c r="A460" s="13" t="s">
        <v>64</v>
      </c>
      <c r="B460" s="13" t="s">
        <v>64</v>
      </c>
    </row>
    <row r="461" spans="1:6" ht="19.5" thickBot="1" x14ac:dyDescent="0.45">
      <c r="A461" s="13" t="s">
        <v>64</v>
      </c>
      <c r="B461" s="13" t="s">
        <v>65</v>
      </c>
      <c r="C461" s="14" t="s">
        <v>90</v>
      </c>
      <c r="D461" s="15">
        <v>67.5</v>
      </c>
      <c r="E461" s="16">
        <v>1.125</v>
      </c>
    </row>
    <row r="462" spans="1:6" ht="19.5" thickBot="1" x14ac:dyDescent="0.45">
      <c r="A462" s="13" t="s">
        <v>106</v>
      </c>
    </row>
    <row r="463" spans="1:6" ht="19.5" thickBot="1" x14ac:dyDescent="0.45">
      <c r="A463" s="13" t="s">
        <v>65</v>
      </c>
      <c r="B463" s="14" t="s">
        <v>36</v>
      </c>
      <c r="C463" s="15">
        <v>130</v>
      </c>
      <c r="D463" s="16">
        <v>3.25</v>
      </c>
    </row>
    <row r="464" spans="1:6" ht="19.5" thickBot="1" x14ac:dyDescent="0.45">
      <c r="B464" s="13" t="s">
        <v>64</v>
      </c>
    </row>
    <row r="465" spans="1:7" ht="19.5" thickBot="1" x14ac:dyDescent="0.45">
      <c r="B465" s="13" t="s">
        <v>65</v>
      </c>
      <c r="C465" s="14" t="s">
        <v>5</v>
      </c>
      <c r="D465" s="15">
        <v>32.5</v>
      </c>
      <c r="E465" s="16">
        <v>2.1666666666666665</v>
      </c>
    </row>
    <row r="466" spans="1:7" ht="19.5" thickBot="1" x14ac:dyDescent="0.45">
      <c r="C466" s="13" t="s">
        <v>64</v>
      </c>
    </row>
    <row r="467" spans="1:7" ht="19.5" thickBot="1" x14ac:dyDescent="0.45">
      <c r="C467" s="13" t="s">
        <v>65</v>
      </c>
      <c r="D467" s="14" t="s">
        <v>34</v>
      </c>
      <c r="E467" s="15">
        <v>32.5</v>
      </c>
      <c r="F467" s="16">
        <v>1.0833333333333333</v>
      </c>
    </row>
    <row r="468" spans="1:7" ht="19.5" thickBot="1" x14ac:dyDescent="0.45">
      <c r="D468" s="13" t="s">
        <v>64</v>
      </c>
    </row>
    <row r="469" spans="1:7" ht="19.5" thickBot="1" x14ac:dyDescent="0.45">
      <c r="D469" s="13" t="s">
        <v>65</v>
      </c>
      <c r="E469" s="14" t="s">
        <v>33</v>
      </c>
      <c r="F469" s="15">
        <v>32.5</v>
      </c>
      <c r="G469" s="16">
        <v>0.54166666666666663</v>
      </c>
    </row>
    <row r="471" spans="1:7" x14ac:dyDescent="0.4">
      <c r="A471" t="s">
        <v>63</v>
      </c>
    </row>
    <row r="472" spans="1:7" ht="19.5" thickBot="1" x14ac:dyDescent="0.45"/>
    <row r="473" spans="1:7" ht="19.5" thickBot="1" x14ac:dyDescent="0.45">
      <c r="A473" s="14" t="s">
        <v>98</v>
      </c>
      <c r="B473" s="15">
        <v>1</v>
      </c>
      <c r="C473" s="16">
        <v>1</v>
      </c>
    </row>
    <row r="474" spans="1:7" ht="19.5" thickBot="1" x14ac:dyDescent="0.45">
      <c r="A474" s="13" t="s">
        <v>64</v>
      </c>
    </row>
    <row r="475" spans="1:7" ht="19.5" thickBot="1" x14ac:dyDescent="0.45">
      <c r="A475" s="13" t="s">
        <v>66</v>
      </c>
      <c r="B475" s="14" t="s">
        <v>57</v>
      </c>
      <c r="C475" s="15">
        <v>2</v>
      </c>
      <c r="D475" s="16">
        <v>0.4</v>
      </c>
    </row>
    <row r="476" spans="1:7" ht="19.5" thickBot="1" x14ac:dyDescent="0.45">
      <c r="A476" s="13" t="s">
        <v>64</v>
      </c>
      <c r="B476" s="13" t="s">
        <v>64</v>
      </c>
    </row>
    <row r="477" spans="1:7" ht="19.5" thickBot="1" x14ac:dyDescent="0.45">
      <c r="A477" s="13" t="s">
        <v>64</v>
      </c>
      <c r="B477" s="13" t="s">
        <v>66</v>
      </c>
      <c r="C477" s="14" t="s">
        <v>38</v>
      </c>
      <c r="D477" s="15">
        <v>4</v>
      </c>
      <c r="E477" s="16">
        <v>1</v>
      </c>
    </row>
    <row r="478" spans="1:7" ht="19.5" thickBot="1" x14ac:dyDescent="0.45">
      <c r="A478" s="13" t="s">
        <v>64</v>
      </c>
      <c r="B478" s="13" t="s">
        <v>64</v>
      </c>
      <c r="C478" s="13" t="s">
        <v>64</v>
      </c>
    </row>
    <row r="479" spans="1:7" ht="19.5" thickBot="1" x14ac:dyDescent="0.45">
      <c r="A479" s="13" t="s">
        <v>64</v>
      </c>
      <c r="B479" s="13" t="s">
        <v>64</v>
      </c>
      <c r="C479" s="13" t="s">
        <v>66</v>
      </c>
      <c r="D479" s="14" t="s">
        <v>5</v>
      </c>
      <c r="E479" s="15">
        <v>20</v>
      </c>
      <c r="F479" s="16">
        <v>1.3333333333333333</v>
      </c>
    </row>
    <row r="480" spans="1:7" ht="19.5" thickBot="1" x14ac:dyDescent="0.45">
      <c r="A480" s="13" t="s">
        <v>64</v>
      </c>
      <c r="B480" s="13" t="s">
        <v>64</v>
      </c>
      <c r="C480" s="13" t="s">
        <v>64</v>
      </c>
      <c r="D480" s="13" t="s">
        <v>64</v>
      </c>
    </row>
    <row r="481" spans="1:9" ht="19.5" thickBot="1" x14ac:dyDescent="0.45">
      <c r="A481" s="13" t="s">
        <v>64</v>
      </c>
      <c r="B481" s="13" t="s">
        <v>64</v>
      </c>
      <c r="C481" s="13" t="s">
        <v>64</v>
      </c>
      <c r="D481" s="13" t="s">
        <v>65</v>
      </c>
      <c r="E481" s="14" t="s">
        <v>34</v>
      </c>
      <c r="F481" s="15">
        <v>20</v>
      </c>
      <c r="G481" s="16">
        <v>0.66666666666666663</v>
      </c>
    </row>
    <row r="482" spans="1:9" ht="19.5" thickBot="1" x14ac:dyDescent="0.45">
      <c r="A482" s="13" t="s">
        <v>64</v>
      </c>
      <c r="B482" s="13" t="s">
        <v>64</v>
      </c>
      <c r="C482" s="13" t="s">
        <v>64</v>
      </c>
      <c r="E482" s="13" t="s">
        <v>64</v>
      </c>
    </row>
    <row r="483" spans="1:9" ht="19.5" thickBot="1" x14ac:dyDescent="0.45">
      <c r="A483" s="13" t="s">
        <v>64</v>
      </c>
      <c r="B483" s="13" t="s">
        <v>64</v>
      </c>
      <c r="C483" s="13" t="s">
        <v>64</v>
      </c>
      <c r="E483" s="13" t="s">
        <v>65</v>
      </c>
      <c r="F483" s="14" t="s">
        <v>33</v>
      </c>
      <c r="G483" s="15">
        <v>20</v>
      </c>
      <c r="H483" s="16">
        <v>0.33333333333333331</v>
      </c>
    </row>
    <row r="484" spans="1:9" ht="19.5" thickBot="1" x14ac:dyDescent="0.45">
      <c r="A484" s="13" t="s">
        <v>64</v>
      </c>
      <c r="B484" s="13" t="s">
        <v>64</v>
      </c>
      <c r="C484" s="13" t="s">
        <v>106</v>
      </c>
    </row>
    <row r="485" spans="1:9" ht="19.5" thickBot="1" x14ac:dyDescent="0.45">
      <c r="A485" s="13" t="s">
        <v>64</v>
      </c>
      <c r="B485" s="13" t="s">
        <v>64</v>
      </c>
      <c r="C485" s="13" t="s">
        <v>65</v>
      </c>
      <c r="D485" s="14" t="s">
        <v>36</v>
      </c>
      <c r="E485" s="15">
        <v>100</v>
      </c>
      <c r="F485" s="16">
        <v>2.5</v>
      </c>
    </row>
    <row r="486" spans="1:9" ht="19.5" thickBot="1" x14ac:dyDescent="0.45">
      <c r="A486" s="13" t="s">
        <v>64</v>
      </c>
      <c r="B486" s="13" t="s">
        <v>64</v>
      </c>
      <c r="D486" s="13" t="s">
        <v>64</v>
      </c>
    </row>
    <row r="487" spans="1:9" ht="19.5" thickBot="1" x14ac:dyDescent="0.45">
      <c r="A487" s="13" t="s">
        <v>64</v>
      </c>
      <c r="B487" s="13" t="s">
        <v>64</v>
      </c>
      <c r="D487" s="13" t="s">
        <v>65</v>
      </c>
      <c r="E487" s="14" t="s">
        <v>5</v>
      </c>
      <c r="F487" s="15">
        <v>25</v>
      </c>
      <c r="G487" s="16">
        <v>1.6666666666666667</v>
      </c>
    </row>
    <row r="488" spans="1:9" ht="19.5" thickBot="1" x14ac:dyDescent="0.45">
      <c r="A488" s="13" t="s">
        <v>64</v>
      </c>
      <c r="B488" s="13" t="s">
        <v>64</v>
      </c>
      <c r="E488" s="13" t="s">
        <v>64</v>
      </c>
    </row>
    <row r="489" spans="1:9" ht="19.5" thickBot="1" x14ac:dyDescent="0.45">
      <c r="A489" s="13" t="s">
        <v>64</v>
      </c>
      <c r="B489" s="13" t="s">
        <v>64</v>
      </c>
      <c r="E489" s="13" t="s">
        <v>65</v>
      </c>
      <c r="F489" s="14" t="s">
        <v>34</v>
      </c>
      <c r="G489" s="15">
        <v>25</v>
      </c>
      <c r="H489" s="16">
        <v>0.83333333333333337</v>
      </c>
    </row>
    <row r="490" spans="1:9" ht="19.5" thickBot="1" x14ac:dyDescent="0.45">
      <c r="A490" s="13" t="s">
        <v>64</v>
      </c>
      <c r="B490" s="13" t="s">
        <v>64</v>
      </c>
      <c r="F490" s="13" t="s">
        <v>64</v>
      </c>
    </row>
    <row r="491" spans="1:9" ht="19.5" thickBot="1" x14ac:dyDescent="0.45">
      <c r="A491" s="13" t="s">
        <v>64</v>
      </c>
      <c r="B491" s="13" t="s">
        <v>64</v>
      </c>
      <c r="F491" s="13" t="s">
        <v>65</v>
      </c>
      <c r="G491" s="14" t="s">
        <v>33</v>
      </c>
      <c r="H491" s="15">
        <v>25</v>
      </c>
      <c r="I491" s="16">
        <v>0.41666666666666669</v>
      </c>
    </row>
    <row r="492" spans="1:9" ht="19.5" thickBot="1" x14ac:dyDescent="0.45">
      <c r="A492" s="13" t="s">
        <v>64</v>
      </c>
      <c r="B492" s="13" t="s">
        <v>106</v>
      </c>
    </row>
    <row r="493" spans="1:9" ht="19.5" thickBot="1" x14ac:dyDescent="0.45">
      <c r="A493" s="13" t="s">
        <v>64</v>
      </c>
      <c r="B493" s="13" t="s">
        <v>65</v>
      </c>
      <c r="C493" s="14" t="s">
        <v>56</v>
      </c>
      <c r="D493" s="15">
        <v>4</v>
      </c>
      <c r="E493" s="16">
        <v>0.8</v>
      </c>
    </row>
    <row r="494" spans="1:9" ht="19.5" thickBot="1" x14ac:dyDescent="0.45">
      <c r="A494" s="13" t="s">
        <v>64</v>
      </c>
      <c r="C494" s="13" t="s">
        <v>64</v>
      </c>
    </row>
    <row r="495" spans="1:9" ht="19.5" thickBot="1" x14ac:dyDescent="0.45">
      <c r="A495" s="13" t="s">
        <v>64</v>
      </c>
      <c r="C495" s="13" t="s">
        <v>66</v>
      </c>
      <c r="D495" s="14" t="s">
        <v>2</v>
      </c>
      <c r="E495" s="15">
        <v>12</v>
      </c>
      <c r="F495" s="16">
        <v>0.6</v>
      </c>
    </row>
    <row r="496" spans="1:9" ht="19.5" thickBot="1" x14ac:dyDescent="0.45">
      <c r="A496" s="13" t="s">
        <v>64</v>
      </c>
      <c r="C496" s="13" t="s">
        <v>64</v>
      </c>
      <c r="D496" s="13" t="s">
        <v>64</v>
      </c>
    </row>
    <row r="497" spans="1:8" ht="19.5" thickBot="1" x14ac:dyDescent="0.45">
      <c r="A497" s="13" t="s">
        <v>64</v>
      </c>
      <c r="C497" s="13" t="s">
        <v>64</v>
      </c>
      <c r="D497" s="13" t="s">
        <v>65</v>
      </c>
      <c r="E497" s="14" t="s">
        <v>43</v>
      </c>
      <c r="F497" s="15">
        <v>18</v>
      </c>
      <c r="G497" s="16">
        <v>0.4</v>
      </c>
    </row>
    <row r="498" spans="1:8" ht="19.5" thickBot="1" x14ac:dyDescent="0.45">
      <c r="A498" s="13" t="s">
        <v>64</v>
      </c>
      <c r="C498" s="13" t="s">
        <v>64</v>
      </c>
      <c r="E498" s="13" t="s">
        <v>64</v>
      </c>
    </row>
    <row r="499" spans="1:8" ht="19.5" thickBot="1" x14ac:dyDescent="0.45">
      <c r="A499" s="13" t="s">
        <v>64</v>
      </c>
      <c r="C499" s="13" t="s">
        <v>64</v>
      </c>
      <c r="E499" s="13" t="s">
        <v>66</v>
      </c>
      <c r="F499" s="14" t="s">
        <v>62</v>
      </c>
      <c r="G499" s="15">
        <v>18</v>
      </c>
      <c r="H499" s="16">
        <v>0.3</v>
      </c>
    </row>
    <row r="500" spans="1:8" ht="19.5" thickBot="1" x14ac:dyDescent="0.45">
      <c r="A500" s="13" t="s">
        <v>64</v>
      </c>
      <c r="C500" s="13" t="s">
        <v>64</v>
      </c>
      <c r="E500" s="13" t="s">
        <v>106</v>
      </c>
    </row>
    <row r="501" spans="1:8" ht="19.5" thickBot="1" x14ac:dyDescent="0.45">
      <c r="A501" s="13" t="s">
        <v>64</v>
      </c>
      <c r="C501" s="13" t="s">
        <v>64</v>
      </c>
      <c r="E501" s="13" t="s">
        <v>65</v>
      </c>
      <c r="F501" s="14" t="s">
        <v>33</v>
      </c>
      <c r="G501" s="15">
        <v>18</v>
      </c>
      <c r="H501" s="16">
        <v>0.3</v>
      </c>
    </row>
    <row r="502" spans="1:8" ht="19.5" thickBot="1" x14ac:dyDescent="0.45">
      <c r="A502" s="13" t="s">
        <v>64</v>
      </c>
      <c r="C502" s="13" t="s">
        <v>106</v>
      </c>
    </row>
    <row r="503" spans="1:8" ht="19.5" thickBot="1" x14ac:dyDescent="0.45">
      <c r="A503" s="13" t="s">
        <v>64</v>
      </c>
      <c r="C503" s="13" t="s">
        <v>65</v>
      </c>
      <c r="D503" s="14" t="s">
        <v>44</v>
      </c>
      <c r="E503" s="15">
        <v>32</v>
      </c>
      <c r="F503" s="16">
        <v>1.0666666666666667</v>
      </c>
    </row>
    <row r="504" spans="1:8" ht="19.5" thickBot="1" x14ac:dyDescent="0.45">
      <c r="A504" s="13" t="s">
        <v>64</v>
      </c>
      <c r="D504" s="13" t="s">
        <v>64</v>
      </c>
    </row>
    <row r="505" spans="1:8" ht="19.5" thickBot="1" x14ac:dyDescent="0.45">
      <c r="A505" s="13" t="s">
        <v>64</v>
      </c>
      <c r="D505" s="13" t="s">
        <v>65</v>
      </c>
      <c r="E505" s="14" t="s">
        <v>41</v>
      </c>
      <c r="F505" s="15">
        <v>16</v>
      </c>
      <c r="G505" s="16">
        <v>0.53333333333333333</v>
      </c>
    </row>
    <row r="506" spans="1:8" ht="19.5" thickBot="1" x14ac:dyDescent="0.45">
      <c r="A506" s="13" t="s">
        <v>64</v>
      </c>
      <c r="E506" s="13" t="s">
        <v>64</v>
      </c>
    </row>
    <row r="507" spans="1:8" ht="19.5" thickBot="1" x14ac:dyDescent="0.45">
      <c r="A507" s="13" t="s">
        <v>64</v>
      </c>
      <c r="E507" s="13" t="s">
        <v>65</v>
      </c>
      <c r="F507" s="14" t="s">
        <v>55</v>
      </c>
      <c r="G507" s="15">
        <v>16</v>
      </c>
      <c r="H507" s="16">
        <v>0.26666666666666666</v>
      </c>
    </row>
    <row r="508" spans="1:8" ht="19.5" thickBot="1" x14ac:dyDescent="0.45">
      <c r="A508" s="13" t="s">
        <v>106</v>
      </c>
    </row>
    <row r="509" spans="1:8" ht="19.5" thickBot="1" x14ac:dyDescent="0.45">
      <c r="A509" s="13" t="s">
        <v>65</v>
      </c>
      <c r="B509" s="14" t="s">
        <v>94</v>
      </c>
      <c r="C509" s="15">
        <v>15</v>
      </c>
      <c r="D509" s="16">
        <v>0.75</v>
      </c>
    </row>
    <row r="510" spans="1:8" ht="19.5" thickBot="1" x14ac:dyDescent="0.45">
      <c r="B510" s="13" t="s">
        <v>64</v>
      </c>
    </row>
    <row r="511" spans="1:8" ht="19.5" thickBot="1" x14ac:dyDescent="0.45">
      <c r="B511" s="13" t="s">
        <v>65</v>
      </c>
      <c r="C511" s="14" t="s">
        <v>90</v>
      </c>
      <c r="D511" s="15">
        <v>22.5</v>
      </c>
      <c r="E511" s="16">
        <v>0.375</v>
      </c>
    </row>
    <row r="513" spans="1:8" x14ac:dyDescent="0.4">
      <c r="A513" t="s">
        <v>63</v>
      </c>
    </row>
    <row r="514" spans="1:8" ht="19.5" thickBot="1" x14ac:dyDescent="0.45"/>
    <row r="515" spans="1:8" ht="19.5" thickBot="1" x14ac:dyDescent="0.45">
      <c r="A515" s="14" t="s">
        <v>102</v>
      </c>
      <c r="B515" s="15">
        <v>1</v>
      </c>
      <c r="C515" s="16">
        <v>1</v>
      </c>
    </row>
    <row r="516" spans="1:8" ht="19.5" thickBot="1" x14ac:dyDescent="0.45">
      <c r="A516" s="13" t="s">
        <v>64</v>
      </c>
    </row>
    <row r="517" spans="1:8" ht="19.5" thickBot="1" x14ac:dyDescent="0.45">
      <c r="A517" s="13" t="s">
        <v>66</v>
      </c>
      <c r="B517" s="14" t="s">
        <v>100</v>
      </c>
      <c r="C517" s="15">
        <v>7.5</v>
      </c>
      <c r="D517" s="16">
        <v>3</v>
      </c>
    </row>
    <row r="518" spans="1:8" ht="19.5" thickBot="1" x14ac:dyDescent="0.45">
      <c r="A518" s="13" t="s">
        <v>64</v>
      </c>
      <c r="B518" s="13" t="s">
        <v>64</v>
      </c>
    </row>
    <row r="519" spans="1:8" ht="19.5" thickBot="1" x14ac:dyDescent="0.45">
      <c r="A519" s="13" t="s">
        <v>64</v>
      </c>
      <c r="B519" s="13" t="s">
        <v>66</v>
      </c>
      <c r="C519" s="14" t="s">
        <v>56</v>
      </c>
      <c r="D519" s="15">
        <v>7.5</v>
      </c>
      <c r="E519" s="16">
        <v>1.5</v>
      </c>
    </row>
    <row r="520" spans="1:8" ht="19.5" thickBot="1" x14ac:dyDescent="0.45">
      <c r="A520" s="13" t="s">
        <v>64</v>
      </c>
      <c r="B520" s="13" t="s">
        <v>64</v>
      </c>
      <c r="C520" s="13" t="s">
        <v>64</v>
      </c>
    </row>
    <row r="521" spans="1:8" ht="19.5" thickBot="1" x14ac:dyDescent="0.45">
      <c r="A521" s="13" t="s">
        <v>64</v>
      </c>
      <c r="B521" s="13" t="s">
        <v>64</v>
      </c>
      <c r="C521" s="13" t="s">
        <v>66</v>
      </c>
      <c r="D521" s="14" t="s">
        <v>2</v>
      </c>
      <c r="E521" s="15">
        <v>22.5</v>
      </c>
      <c r="F521" s="16">
        <v>1.125</v>
      </c>
    </row>
    <row r="522" spans="1:8" ht="19.5" thickBot="1" x14ac:dyDescent="0.45">
      <c r="A522" s="13" t="s">
        <v>64</v>
      </c>
      <c r="B522" s="13" t="s">
        <v>64</v>
      </c>
      <c r="C522" s="13" t="s">
        <v>64</v>
      </c>
      <c r="D522" s="13" t="s">
        <v>64</v>
      </c>
    </row>
    <row r="523" spans="1:8" ht="19.5" thickBot="1" x14ac:dyDescent="0.45">
      <c r="A523" s="13" t="s">
        <v>64</v>
      </c>
      <c r="B523" s="13" t="s">
        <v>64</v>
      </c>
      <c r="C523" s="13" t="s">
        <v>64</v>
      </c>
      <c r="D523" s="13" t="s">
        <v>65</v>
      </c>
      <c r="E523" s="14" t="s">
        <v>43</v>
      </c>
      <c r="F523" s="15">
        <v>33.75</v>
      </c>
      <c r="G523" s="16">
        <v>0.75</v>
      </c>
    </row>
    <row r="524" spans="1:8" ht="19.5" thickBot="1" x14ac:dyDescent="0.45">
      <c r="A524" s="13" t="s">
        <v>64</v>
      </c>
      <c r="B524" s="13" t="s">
        <v>64</v>
      </c>
      <c r="C524" s="13" t="s">
        <v>64</v>
      </c>
      <c r="E524" s="13" t="s">
        <v>64</v>
      </c>
    </row>
    <row r="525" spans="1:8" ht="19.5" thickBot="1" x14ac:dyDescent="0.45">
      <c r="A525" s="13" t="s">
        <v>64</v>
      </c>
      <c r="B525" s="13" t="s">
        <v>64</v>
      </c>
      <c r="C525" s="13" t="s">
        <v>64</v>
      </c>
      <c r="E525" s="13" t="s">
        <v>66</v>
      </c>
      <c r="F525" s="14" t="s">
        <v>62</v>
      </c>
      <c r="G525" s="15">
        <v>33.75</v>
      </c>
      <c r="H525" s="16">
        <v>0.5625</v>
      </c>
    </row>
    <row r="526" spans="1:8" ht="19.5" thickBot="1" x14ac:dyDescent="0.45">
      <c r="A526" s="13" t="s">
        <v>64</v>
      </c>
      <c r="B526" s="13" t="s">
        <v>64</v>
      </c>
      <c r="C526" s="13" t="s">
        <v>64</v>
      </c>
      <c r="E526" s="13" t="s">
        <v>106</v>
      </c>
    </row>
    <row r="527" spans="1:8" ht="19.5" thickBot="1" x14ac:dyDescent="0.45">
      <c r="A527" s="13" t="s">
        <v>64</v>
      </c>
      <c r="B527" s="13" t="s">
        <v>64</v>
      </c>
      <c r="C527" s="13" t="s">
        <v>64</v>
      </c>
      <c r="E527" s="13" t="s">
        <v>65</v>
      </c>
      <c r="F527" s="14" t="s">
        <v>33</v>
      </c>
      <c r="G527" s="15">
        <v>33.75</v>
      </c>
      <c r="H527" s="16">
        <v>0.5625</v>
      </c>
    </row>
    <row r="528" spans="1:8" ht="19.5" thickBot="1" x14ac:dyDescent="0.45">
      <c r="A528" s="13" t="s">
        <v>64</v>
      </c>
      <c r="B528" s="13" t="s">
        <v>64</v>
      </c>
      <c r="C528" s="13" t="s">
        <v>106</v>
      </c>
    </row>
    <row r="529" spans="1:8" ht="19.5" thickBot="1" x14ac:dyDescent="0.45">
      <c r="A529" s="13" t="s">
        <v>64</v>
      </c>
      <c r="B529" s="13" t="s">
        <v>64</v>
      </c>
      <c r="C529" s="13" t="s">
        <v>65</v>
      </c>
      <c r="D529" s="14" t="s">
        <v>44</v>
      </c>
      <c r="E529" s="15">
        <v>60</v>
      </c>
      <c r="F529" s="16">
        <v>2</v>
      </c>
    </row>
    <row r="530" spans="1:8" ht="19.5" thickBot="1" x14ac:dyDescent="0.45">
      <c r="A530" s="13" t="s">
        <v>64</v>
      </c>
      <c r="B530" s="13" t="s">
        <v>64</v>
      </c>
      <c r="D530" s="13" t="s">
        <v>64</v>
      </c>
    </row>
    <row r="531" spans="1:8" ht="19.5" thickBot="1" x14ac:dyDescent="0.45">
      <c r="A531" s="13" t="s">
        <v>64</v>
      </c>
      <c r="B531" s="13" t="s">
        <v>64</v>
      </c>
      <c r="D531" s="13" t="s">
        <v>65</v>
      </c>
      <c r="E531" s="14" t="s">
        <v>41</v>
      </c>
      <c r="F531" s="15">
        <v>30</v>
      </c>
      <c r="G531" s="16">
        <v>1</v>
      </c>
    </row>
    <row r="532" spans="1:8" ht="19.5" thickBot="1" x14ac:dyDescent="0.45">
      <c r="A532" s="13" t="s">
        <v>64</v>
      </c>
      <c r="B532" s="13" t="s">
        <v>64</v>
      </c>
      <c r="E532" s="13" t="s">
        <v>64</v>
      </c>
    </row>
    <row r="533" spans="1:8" ht="19.5" thickBot="1" x14ac:dyDescent="0.45">
      <c r="A533" s="13" t="s">
        <v>64</v>
      </c>
      <c r="B533" s="13" t="s">
        <v>64</v>
      </c>
      <c r="E533" s="13" t="s">
        <v>65</v>
      </c>
      <c r="F533" s="14" t="s">
        <v>55</v>
      </c>
      <c r="G533" s="15">
        <v>30</v>
      </c>
      <c r="H533" s="16">
        <v>0.5</v>
      </c>
    </row>
    <row r="534" spans="1:8" ht="19.5" thickBot="1" x14ac:dyDescent="0.45">
      <c r="A534" s="13" t="s">
        <v>64</v>
      </c>
      <c r="B534" s="13" t="s">
        <v>106</v>
      </c>
    </row>
    <row r="535" spans="1:8" ht="19.5" thickBot="1" x14ac:dyDescent="0.45">
      <c r="A535" s="13" t="s">
        <v>64</v>
      </c>
      <c r="B535" s="13" t="s">
        <v>65</v>
      </c>
      <c r="C535" s="14" t="s">
        <v>45</v>
      </c>
      <c r="D535" s="15">
        <v>150</v>
      </c>
      <c r="E535" s="16">
        <v>5</v>
      </c>
    </row>
    <row r="536" spans="1:8" ht="19.5" thickBot="1" x14ac:dyDescent="0.45">
      <c r="A536" s="13" t="s">
        <v>64</v>
      </c>
      <c r="C536" s="13" t="s">
        <v>64</v>
      </c>
    </row>
    <row r="537" spans="1:8" ht="19.5" thickBot="1" x14ac:dyDescent="0.45">
      <c r="A537" s="13" t="s">
        <v>64</v>
      </c>
      <c r="C537" s="13" t="s">
        <v>65</v>
      </c>
      <c r="D537" s="14" t="s">
        <v>44</v>
      </c>
      <c r="E537" s="15">
        <v>300</v>
      </c>
      <c r="F537" s="16">
        <v>10</v>
      </c>
    </row>
    <row r="538" spans="1:8" ht="19.5" thickBot="1" x14ac:dyDescent="0.45">
      <c r="A538" s="13" t="s">
        <v>64</v>
      </c>
      <c r="D538" s="13" t="s">
        <v>64</v>
      </c>
    </row>
    <row r="539" spans="1:8" ht="19.5" thickBot="1" x14ac:dyDescent="0.45">
      <c r="A539" s="13" t="s">
        <v>64</v>
      </c>
      <c r="D539" s="13" t="s">
        <v>65</v>
      </c>
      <c r="E539" s="14" t="s">
        <v>41</v>
      </c>
      <c r="F539" s="15">
        <v>150</v>
      </c>
      <c r="G539" s="16">
        <v>5</v>
      </c>
    </row>
    <row r="540" spans="1:8" ht="19.5" thickBot="1" x14ac:dyDescent="0.45">
      <c r="A540" s="13" t="s">
        <v>64</v>
      </c>
      <c r="E540" s="13" t="s">
        <v>64</v>
      </c>
    </row>
    <row r="541" spans="1:8" ht="19.5" thickBot="1" x14ac:dyDescent="0.45">
      <c r="A541" s="13" t="s">
        <v>64</v>
      </c>
      <c r="E541" s="13" t="s">
        <v>65</v>
      </c>
      <c r="F541" s="14" t="s">
        <v>55</v>
      </c>
      <c r="G541" s="15">
        <v>150</v>
      </c>
      <c r="H541" s="16">
        <v>2.5</v>
      </c>
    </row>
    <row r="542" spans="1:8" ht="19.5" thickBot="1" x14ac:dyDescent="0.45">
      <c r="A542" s="13" t="s">
        <v>106</v>
      </c>
    </row>
    <row r="543" spans="1:8" ht="19.5" thickBot="1" x14ac:dyDescent="0.45">
      <c r="A543" s="13" t="s">
        <v>66</v>
      </c>
      <c r="B543" s="14" t="s">
        <v>85</v>
      </c>
      <c r="C543" s="15">
        <v>5</v>
      </c>
      <c r="D543" s="16">
        <v>0.66666666666666663</v>
      </c>
    </row>
    <row r="544" spans="1:8" ht="19.5" thickBot="1" x14ac:dyDescent="0.45">
      <c r="A544" s="13" t="s">
        <v>64</v>
      </c>
      <c r="B544" s="13" t="s">
        <v>64</v>
      </c>
    </row>
    <row r="545" spans="1:7" ht="19.5" thickBot="1" x14ac:dyDescent="0.45">
      <c r="A545" s="13" t="s">
        <v>64</v>
      </c>
      <c r="B545" s="13" t="s">
        <v>66</v>
      </c>
      <c r="C545" s="14" t="s">
        <v>40</v>
      </c>
      <c r="D545" s="15">
        <v>10</v>
      </c>
      <c r="E545" s="16">
        <v>1</v>
      </c>
    </row>
    <row r="546" spans="1:7" ht="19.5" thickBot="1" x14ac:dyDescent="0.45">
      <c r="A546" s="13" t="s">
        <v>64</v>
      </c>
      <c r="B546" s="13" t="s">
        <v>64</v>
      </c>
      <c r="C546" s="13" t="s">
        <v>64</v>
      </c>
    </row>
    <row r="547" spans="1:7" ht="19.5" thickBot="1" x14ac:dyDescent="0.45">
      <c r="A547" s="13" t="s">
        <v>64</v>
      </c>
      <c r="B547" s="13" t="s">
        <v>64</v>
      </c>
      <c r="C547" s="13" t="s">
        <v>65</v>
      </c>
      <c r="D547" s="14" t="s">
        <v>41</v>
      </c>
      <c r="E547" s="15">
        <v>20</v>
      </c>
      <c r="F547" s="16">
        <v>0.66666666666666663</v>
      </c>
    </row>
    <row r="548" spans="1:7" ht="19.5" thickBot="1" x14ac:dyDescent="0.45">
      <c r="A548" s="13" t="s">
        <v>64</v>
      </c>
      <c r="B548" s="13" t="s">
        <v>64</v>
      </c>
      <c r="D548" s="13" t="s">
        <v>64</v>
      </c>
    </row>
    <row r="549" spans="1:7" ht="19.5" thickBot="1" x14ac:dyDescent="0.45">
      <c r="A549" s="13" t="s">
        <v>64</v>
      </c>
      <c r="B549" s="13" t="s">
        <v>64</v>
      </c>
      <c r="D549" s="13" t="s">
        <v>65</v>
      </c>
      <c r="E549" s="14" t="s">
        <v>55</v>
      </c>
      <c r="F549" s="15">
        <v>20</v>
      </c>
      <c r="G549" s="16">
        <v>0.33333333333333331</v>
      </c>
    </row>
    <row r="550" spans="1:7" ht="19.5" thickBot="1" x14ac:dyDescent="0.45">
      <c r="A550" s="13" t="s">
        <v>64</v>
      </c>
      <c r="B550" s="13" t="s">
        <v>106</v>
      </c>
    </row>
    <row r="551" spans="1:7" ht="19.5" thickBot="1" x14ac:dyDescent="0.45">
      <c r="A551" s="13" t="s">
        <v>64</v>
      </c>
      <c r="B551" s="13" t="s">
        <v>65</v>
      </c>
      <c r="C551" s="14" t="s">
        <v>88</v>
      </c>
      <c r="D551" s="15">
        <v>20</v>
      </c>
      <c r="E551" s="16">
        <v>1</v>
      </c>
    </row>
    <row r="552" spans="1:7" ht="19.5" thickBot="1" x14ac:dyDescent="0.45">
      <c r="A552" s="13" t="s">
        <v>64</v>
      </c>
      <c r="C552" s="13" t="s">
        <v>64</v>
      </c>
    </row>
    <row r="553" spans="1:7" ht="19.5" thickBot="1" x14ac:dyDescent="0.45">
      <c r="A553" s="13" t="s">
        <v>64</v>
      </c>
      <c r="C553" s="13" t="s">
        <v>65</v>
      </c>
      <c r="D553" s="14" t="s">
        <v>90</v>
      </c>
      <c r="E553" s="15">
        <v>30</v>
      </c>
      <c r="F553" s="16">
        <v>0.5</v>
      </c>
    </row>
    <row r="554" spans="1:7" ht="19.5" thickBot="1" x14ac:dyDescent="0.45">
      <c r="A554" s="13" t="s">
        <v>106</v>
      </c>
    </row>
    <row r="555" spans="1:7" ht="19.5" thickBot="1" x14ac:dyDescent="0.45">
      <c r="A555" s="13" t="s">
        <v>66</v>
      </c>
      <c r="B555" s="14" t="s">
        <v>79</v>
      </c>
      <c r="C555" s="15">
        <v>1</v>
      </c>
      <c r="D555" s="16">
        <v>0.5</v>
      </c>
    </row>
    <row r="556" spans="1:7" ht="19.5" thickBot="1" x14ac:dyDescent="0.45">
      <c r="A556" s="13" t="s">
        <v>64</v>
      </c>
      <c r="B556" s="13" t="s">
        <v>64</v>
      </c>
    </row>
    <row r="557" spans="1:7" ht="19.5" thickBot="1" x14ac:dyDescent="0.45">
      <c r="A557" s="13" t="s">
        <v>64</v>
      </c>
      <c r="B557" s="13" t="s">
        <v>66</v>
      </c>
      <c r="C557" s="14" t="s">
        <v>3</v>
      </c>
      <c r="D557" s="15">
        <v>5</v>
      </c>
      <c r="E557" s="16">
        <v>2.5</v>
      </c>
    </row>
    <row r="558" spans="1:7" ht="19.5" thickBot="1" x14ac:dyDescent="0.45">
      <c r="A558" s="13" t="s">
        <v>64</v>
      </c>
      <c r="B558" s="13" t="s">
        <v>64</v>
      </c>
      <c r="C558" s="13" t="s">
        <v>64</v>
      </c>
    </row>
    <row r="559" spans="1:7" ht="19.5" thickBot="1" x14ac:dyDescent="0.45">
      <c r="A559" s="13" t="s">
        <v>64</v>
      </c>
      <c r="B559" s="13" t="s">
        <v>64</v>
      </c>
      <c r="C559" s="13" t="s">
        <v>66</v>
      </c>
      <c r="D559" s="14" t="s">
        <v>39</v>
      </c>
      <c r="E559" s="15">
        <v>7.5</v>
      </c>
      <c r="F559" s="16">
        <v>1.5</v>
      </c>
    </row>
    <row r="560" spans="1:7" ht="19.5" thickBot="1" x14ac:dyDescent="0.45">
      <c r="A560" s="13" t="s">
        <v>64</v>
      </c>
      <c r="B560" s="13" t="s">
        <v>64</v>
      </c>
      <c r="C560" s="13" t="s">
        <v>64</v>
      </c>
      <c r="D560" s="13" t="s">
        <v>64</v>
      </c>
    </row>
    <row r="561" spans="1:10" ht="19.5" thickBot="1" x14ac:dyDescent="0.45">
      <c r="A561" s="13" t="s">
        <v>64</v>
      </c>
      <c r="B561" s="13" t="s">
        <v>64</v>
      </c>
      <c r="C561" s="13" t="s">
        <v>64</v>
      </c>
      <c r="D561" s="13" t="s">
        <v>66</v>
      </c>
      <c r="E561" s="14" t="s">
        <v>0</v>
      </c>
      <c r="F561" s="15">
        <v>45</v>
      </c>
      <c r="G561" s="16">
        <v>2.25</v>
      </c>
    </row>
    <row r="562" spans="1:10" ht="19.5" thickBot="1" x14ac:dyDescent="0.45">
      <c r="A562" s="13" t="s">
        <v>64</v>
      </c>
      <c r="B562" s="13" t="s">
        <v>64</v>
      </c>
      <c r="C562" s="13" t="s">
        <v>64</v>
      </c>
      <c r="D562" s="13" t="s">
        <v>64</v>
      </c>
      <c r="E562" s="13" t="s">
        <v>64</v>
      </c>
    </row>
    <row r="563" spans="1:10" ht="19.5" thickBot="1" x14ac:dyDescent="0.45">
      <c r="A563" s="13" t="s">
        <v>64</v>
      </c>
      <c r="B563" s="13" t="s">
        <v>64</v>
      </c>
      <c r="C563" s="13" t="s">
        <v>64</v>
      </c>
      <c r="D563" s="13" t="s">
        <v>64</v>
      </c>
      <c r="E563" s="13" t="s">
        <v>65</v>
      </c>
      <c r="F563" s="14" t="s">
        <v>34</v>
      </c>
      <c r="G563" s="15">
        <v>67.5</v>
      </c>
      <c r="H563" s="16">
        <v>2.25</v>
      </c>
    </row>
    <row r="564" spans="1:10" ht="19.5" thickBot="1" x14ac:dyDescent="0.45">
      <c r="A564" s="13" t="s">
        <v>64</v>
      </c>
      <c r="B564" s="13" t="s">
        <v>64</v>
      </c>
      <c r="C564" s="13" t="s">
        <v>64</v>
      </c>
      <c r="D564" s="13" t="s">
        <v>64</v>
      </c>
      <c r="F564" s="13" t="s">
        <v>64</v>
      </c>
    </row>
    <row r="565" spans="1:10" ht="19.5" thickBot="1" x14ac:dyDescent="0.45">
      <c r="A565" s="13" t="s">
        <v>64</v>
      </c>
      <c r="B565" s="13" t="s">
        <v>64</v>
      </c>
      <c r="C565" s="13" t="s">
        <v>64</v>
      </c>
      <c r="D565" s="13" t="s">
        <v>64</v>
      </c>
      <c r="F565" s="13" t="s">
        <v>65</v>
      </c>
      <c r="G565" s="14" t="s">
        <v>33</v>
      </c>
      <c r="H565" s="15">
        <v>67.5</v>
      </c>
      <c r="I565" s="16">
        <v>1.125</v>
      </c>
    </row>
    <row r="566" spans="1:10" ht="19.5" thickBot="1" x14ac:dyDescent="0.45">
      <c r="A566" s="13" t="s">
        <v>64</v>
      </c>
      <c r="B566" s="13" t="s">
        <v>64</v>
      </c>
      <c r="C566" s="13" t="s">
        <v>64</v>
      </c>
      <c r="D566" s="13" t="s">
        <v>106</v>
      </c>
    </row>
    <row r="567" spans="1:10" ht="19.5" thickBot="1" x14ac:dyDescent="0.45">
      <c r="A567" s="13" t="s">
        <v>64</v>
      </c>
      <c r="B567" s="13" t="s">
        <v>64</v>
      </c>
      <c r="C567" s="13" t="s">
        <v>64</v>
      </c>
      <c r="D567" s="13" t="s">
        <v>65</v>
      </c>
      <c r="E567" s="14" t="s">
        <v>36</v>
      </c>
      <c r="F567" s="15">
        <v>90</v>
      </c>
      <c r="G567" s="16">
        <v>2.25</v>
      </c>
    </row>
    <row r="568" spans="1:10" ht="19.5" thickBot="1" x14ac:dyDescent="0.45">
      <c r="A568" s="13" t="s">
        <v>64</v>
      </c>
      <c r="B568" s="13" t="s">
        <v>64</v>
      </c>
      <c r="C568" s="13" t="s">
        <v>64</v>
      </c>
      <c r="E568" s="13" t="s">
        <v>64</v>
      </c>
    </row>
    <row r="569" spans="1:10" ht="19.5" thickBot="1" x14ac:dyDescent="0.45">
      <c r="A569" s="13" t="s">
        <v>64</v>
      </c>
      <c r="B569" s="13" t="s">
        <v>64</v>
      </c>
      <c r="C569" s="13" t="s">
        <v>64</v>
      </c>
      <c r="E569" s="13" t="s">
        <v>65</v>
      </c>
      <c r="F569" s="14" t="s">
        <v>5</v>
      </c>
      <c r="G569" s="15">
        <v>22.5</v>
      </c>
      <c r="H569" s="16">
        <v>1.5</v>
      </c>
    </row>
    <row r="570" spans="1:10" ht="19.5" thickBot="1" x14ac:dyDescent="0.45">
      <c r="A570" s="13" t="s">
        <v>64</v>
      </c>
      <c r="B570" s="13" t="s">
        <v>64</v>
      </c>
      <c r="C570" s="13" t="s">
        <v>64</v>
      </c>
      <c r="F570" s="13" t="s">
        <v>64</v>
      </c>
    </row>
    <row r="571" spans="1:10" ht="19.5" thickBot="1" x14ac:dyDescent="0.45">
      <c r="A571" s="13" t="s">
        <v>64</v>
      </c>
      <c r="B571" s="13" t="s">
        <v>64</v>
      </c>
      <c r="C571" s="13" t="s">
        <v>64</v>
      </c>
      <c r="F571" s="13" t="s">
        <v>65</v>
      </c>
      <c r="G571" s="14" t="s">
        <v>34</v>
      </c>
      <c r="H571" s="15">
        <v>22.5</v>
      </c>
      <c r="I571" s="16">
        <v>0.75</v>
      </c>
    </row>
    <row r="572" spans="1:10" ht="19.5" thickBot="1" x14ac:dyDescent="0.45">
      <c r="A572" s="13" t="s">
        <v>64</v>
      </c>
      <c r="B572" s="13" t="s">
        <v>64</v>
      </c>
      <c r="C572" s="13" t="s">
        <v>64</v>
      </c>
      <c r="G572" s="13" t="s">
        <v>64</v>
      </c>
    </row>
    <row r="573" spans="1:10" ht="19.5" thickBot="1" x14ac:dyDescent="0.45">
      <c r="A573" s="13" t="s">
        <v>64</v>
      </c>
      <c r="B573" s="13" t="s">
        <v>64</v>
      </c>
      <c r="C573" s="13" t="s">
        <v>64</v>
      </c>
      <c r="G573" s="13" t="s">
        <v>65</v>
      </c>
      <c r="H573" s="14" t="s">
        <v>33</v>
      </c>
      <c r="I573" s="15">
        <v>22.5</v>
      </c>
      <c r="J573" s="16">
        <v>0.375</v>
      </c>
    </row>
    <row r="574" spans="1:10" ht="19.5" thickBot="1" x14ac:dyDescent="0.45">
      <c r="A574" s="13" t="s">
        <v>64</v>
      </c>
      <c r="B574" s="13" t="s">
        <v>64</v>
      </c>
      <c r="C574" s="13" t="s">
        <v>106</v>
      </c>
    </row>
    <row r="575" spans="1:10" ht="19.5" thickBot="1" x14ac:dyDescent="0.45">
      <c r="A575" s="13" t="s">
        <v>64</v>
      </c>
      <c r="B575" s="13" t="s">
        <v>64</v>
      </c>
      <c r="C575" s="13" t="s">
        <v>65</v>
      </c>
      <c r="D575" s="14" t="s">
        <v>5</v>
      </c>
      <c r="E575" s="15">
        <v>30</v>
      </c>
      <c r="F575" s="16">
        <v>2</v>
      </c>
    </row>
    <row r="576" spans="1:10" ht="19.5" thickBot="1" x14ac:dyDescent="0.45">
      <c r="A576" s="13" t="s">
        <v>64</v>
      </c>
      <c r="B576" s="13" t="s">
        <v>64</v>
      </c>
      <c r="D576" s="13" t="s">
        <v>64</v>
      </c>
    </row>
    <row r="577" spans="1:8" ht="19.5" thickBot="1" x14ac:dyDescent="0.45">
      <c r="A577" s="13" t="s">
        <v>64</v>
      </c>
      <c r="B577" s="13" t="s">
        <v>64</v>
      </c>
      <c r="D577" s="13" t="s">
        <v>65</v>
      </c>
      <c r="E577" s="14" t="s">
        <v>34</v>
      </c>
      <c r="F577" s="15">
        <v>30</v>
      </c>
      <c r="G577" s="16">
        <v>1</v>
      </c>
    </row>
    <row r="578" spans="1:8" ht="19.5" thickBot="1" x14ac:dyDescent="0.45">
      <c r="A578" s="13" t="s">
        <v>64</v>
      </c>
      <c r="B578" s="13" t="s">
        <v>64</v>
      </c>
      <c r="E578" s="13" t="s">
        <v>64</v>
      </c>
    </row>
    <row r="579" spans="1:8" ht="19.5" thickBot="1" x14ac:dyDescent="0.45">
      <c r="A579" s="13" t="s">
        <v>64</v>
      </c>
      <c r="B579" s="13" t="s">
        <v>64</v>
      </c>
      <c r="E579" s="13" t="s">
        <v>65</v>
      </c>
      <c r="F579" s="14" t="s">
        <v>33</v>
      </c>
      <c r="G579" s="15">
        <v>30</v>
      </c>
      <c r="H579" s="16">
        <v>0.5</v>
      </c>
    </row>
    <row r="580" spans="1:8" ht="19.5" thickBot="1" x14ac:dyDescent="0.45">
      <c r="A580" s="13" t="s">
        <v>64</v>
      </c>
      <c r="B580" s="13" t="s">
        <v>106</v>
      </c>
    </row>
    <row r="581" spans="1:8" ht="19.5" thickBot="1" x14ac:dyDescent="0.45">
      <c r="A581" s="13" t="s">
        <v>64</v>
      </c>
      <c r="B581" s="13" t="s">
        <v>66</v>
      </c>
      <c r="C581" s="14" t="s">
        <v>2</v>
      </c>
      <c r="D581" s="15">
        <v>15</v>
      </c>
      <c r="E581" s="16">
        <v>0.75</v>
      </c>
    </row>
    <row r="582" spans="1:8" ht="19.5" thickBot="1" x14ac:dyDescent="0.45">
      <c r="A582" s="13" t="s">
        <v>64</v>
      </c>
      <c r="B582" s="13" t="s">
        <v>64</v>
      </c>
      <c r="C582" s="13" t="s">
        <v>64</v>
      </c>
    </row>
    <row r="583" spans="1:8" ht="19.5" thickBot="1" x14ac:dyDescent="0.45">
      <c r="A583" s="13" t="s">
        <v>64</v>
      </c>
      <c r="B583" s="13" t="s">
        <v>64</v>
      </c>
      <c r="C583" s="13" t="s">
        <v>65</v>
      </c>
      <c r="D583" s="14" t="s">
        <v>43</v>
      </c>
      <c r="E583" s="15">
        <v>22.5</v>
      </c>
      <c r="F583" s="16">
        <v>0.5</v>
      </c>
    </row>
    <row r="584" spans="1:8" ht="19.5" thickBot="1" x14ac:dyDescent="0.45">
      <c r="A584" s="13" t="s">
        <v>64</v>
      </c>
      <c r="B584" s="13" t="s">
        <v>64</v>
      </c>
      <c r="D584" s="13" t="s">
        <v>64</v>
      </c>
    </row>
    <row r="585" spans="1:8" ht="19.5" thickBot="1" x14ac:dyDescent="0.45">
      <c r="A585" s="13" t="s">
        <v>64</v>
      </c>
      <c r="B585" s="13" t="s">
        <v>64</v>
      </c>
      <c r="D585" s="13" t="s">
        <v>66</v>
      </c>
      <c r="E585" s="14" t="s">
        <v>62</v>
      </c>
      <c r="F585" s="15">
        <v>22.5</v>
      </c>
      <c r="G585" s="16">
        <v>0.375</v>
      </c>
    </row>
    <row r="586" spans="1:8" ht="19.5" thickBot="1" x14ac:dyDescent="0.45">
      <c r="A586" s="13" t="s">
        <v>64</v>
      </c>
      <c r="B586" s="13" t="s">
        <v>64</v>
      </c>
      <c r="D586" s="13" t="s">
        <v>106</v>
      </c>
    </row>
    <row r="587" spans="1:8" ht="19.5" thickBot="1" x14ac:dyDescent="0.45">
      <c r="A587" s="13" t="s">
        <v>64</v>
      </c>
      <c r="B587" s="13" t="s">
        <v>64</v>
      </c>
      <c r="D587" s="13" t="s">
        <v>65</v>
      </c>
      <c r="E587" s="14" t="s">
        <v>33</v>
      </c>
      <c r="F587" s="15">
        <v>22.5</v>
      </c>
      <c r="G587" s="16">
        <v>0.375</v>
      </c>
    </row>
    <row r="588" spans="1:8" ht="19.5" thickBot="1" x14ac:dyDescent="0.45">
      <c r="A588" s="13" t="s">
        <v>64</v>
      </c>
      <c r="B588" s="13" t="s">
        <v>106</v>
      </c>
    </row>
    <row r="589" spans="1:8" ht="19.5" thickBot="1" x14ac:dyDescent="0.45">
      <c r="A589" s="13" t="s">
        <v>64</v>
      </c>
      <c r="B589" s="13" t="s">
        <v>66</v>
      </c>
      <c r="C589" s="14" t="s">
        <v>47</v>
      </c>
      <c r="D589" s="15">
        <v>5</v>
      </c>
      <c r="E589" s="16">
        <v>0.83333333333333337</v>
      </c>
    </row>
    <row r="590" spans="1:8" ht="19.5" thickBot="1" x14ac:dyDescent="0.45">
      <c r="A590" s="13" t="s">
        <v>64</v>
      </c>
      <c r="B590" s="13" t="s">
        <v>64</v>
      </c>
      <c r="C590" s="13" t="s">
        <v>64</v>
      </c>
    </row>
    <row r="591" spans="1:8" ht="19.5" thickBot="1" x14ac:dyDescent="0.45">
      <c r="A591" s="13" t="s">
        <v>64</v>
      </c>
      <c r="B591" s="13" t="s">
        <v>64</v>
      </c>
      <c r="C591" s="13" t="s">
        <v>66</v>
      </c>
      <c r="D591" s="14" t="s">
        <v>42</v>
      </c>
      <c r="E591" s="15">
        <v>20</v>
      </c>
      <c r="F591" s="16">
        <v>1.3333333333333333</v>
      </c>
    </row>
    <row r="592" spans="1:8" ht="19.5" thickBot="1" x14ac:dyDescent="0.45">
      <c r="A592" s="13" t="s">
        <v>64</v>
      </c>
      <c r="B592" s="13" t="s">
        <v>64</v>
      </c>
      <c r="C592" s="13" t="s">
        <v>64</v>
      </c>
      <c r="D592" s="13" t="s">
        <v>64</v>
      </c>
    </row>
    <row r="593" spans="1:8" ht="19.5" thickBot="1" x14ac:dyDescent="0.45">
      <c r="A593" s="13" t="s">
        <v>64</v>
      </c>
      <c r="B593" s="13" t="s">
        <v>64</v>
      </c>
      <c r="C593" s="13" t="s">
        <v>64</v>
      </c>
      <c r="D593" s="13" t="s">
        <v>65</v>
      </c>
      <c r="E593" s="14" t="s">
        <v>43</v>
      </c>
      <c r="F593" s="15">
        <v>80</v>
      </c>
      <c r="G593" s="16">
        <v>1.7777777777777779</v>
      </c>
    </row>
    <row r="594" spans="1:8" ht="19.5" thickBot="1" x14ac:dyDescent="0.45">
      <c r="A594" s="13" t="s">
        <v>64</v>
      </c>
      <c r="B594" s="13" t="s">
        <v>64</v>
      </c>
      <c r="C594" s="13" t="s">
        <v>64</v>
      </c>
      <c r="E594" s="13" t="s">
        <v>64</v>
      </c>
    </row>
    <row r="595" spans="1:8" ht="19.5" thickBot="1" x14ac:dyDescent="0.45">
      <c r="A595" s="13" t="s">
        <v>64</v>
      </c>
      <c r="B595" s="13" t="s">
        <v>64</v>
      </c>
      <c r="C595" s="13" t="s">
        <v>64</v>
      </c>
      <c r="E595" s="13" t="s">
        <v>66</v>
      </c>
      <c r="F595" s="14" t="s">
        <v>62</v>
      </c>
      <c r="G595" s="15">
        <v>80</v>
      </c>
      <c r="H595" s="16">
        <v>1.3333333333333333</v>
      </c>
    </row>
    <row r="596" spans="1:8" ht="19.5" thickBot="1" x14ac:dyDescent="0.45">
      <c r="A596" s="13" t="s">
        <v>64</v>
      </c>
      <c r="B596" s="13" t="s">
        <v>64</v>
      </c>
      <c r="C596" s="13" t="s">
        <v>64</v>
      </c>
      <c r="E596" s="13" t="s">
        <v>106</v>
      </c>
    </row>
    <row r="597" spans="1:8" ht="19.5" thickBot="1" x14ac:dyDescent="0.45">
      <c r="A597" s="13" t="s">
        <v>64</v>
      </c>
      <c r="B597" s="13" t="s">
        <v>64</v>
      </c>
      <c r="C597" s="13" t="s">
        <v>64</v>
      </c>
      <c r="E597" s="13" t="s">
        <v>65</v>
      </c>
      <c r="F597" s="14" t="s">
        <v>33</v>
      </c>
      <c r="G597" s="15">
        <v>80</v>
      </c>
      <c r="H597" s="16">
        <v>1.3333333333333333</v>
      </c>
    </row>
    <row r="598" spans="1:8" ht="19.5" thickBot="1" x14ac:dyDescent="0.45">
      <c r="A598" s="13" t="s">
        <v>64</v>
      </c>
      <c r="B598" s="13" t="s">
        <v>64</v>
      </c>
      <c r="C598" s="13" t="s">
        <v>106</v>
      </c>
    </row>
    <row r="599" spans="1:8" ht="19.5" thickBot="1" x14ac:dyDescent="0.45">
      <c r="A599" s="13" t="s">
        <v>64</v>
      </c>
      <c r="B599" s="13" t="s">
        <v>64</v>
      </c>
      <c r="C599" s="13" t="s">
        <v>65</v>
      </c>
      <c r="D599" s="14" t="s">
        <v>1</v>
      </c>
      <c r="E599" s="15">
        <v>25</v>
      </c>
      <c r="F599" s="16">
        <v>1.6666666666666667</v>
      </c>
    </row>
    <row r="600" spans="1:8" ht="19.5" thickBot="1" x14ac:dyDescent="0.45">
      <c r="A600" s="13" t="s">
        <v>64</v>
      </c>
      <c r="B600" s="13" t="s">
        <v>64</v>
      </c>
      <c r="D600" s="13" t="s">
        <v>64</v>
      </c>
    </row>
    <row r="601" spans="1:8" ht="19.5" thickBot="1" x14ac:dyDescent="0.45">
      <c r="A601" s="13" t="s">
        <v>64</v>
      </c>
      <c r="B601" s="13" t="s">
        <v>64</v>
      </c>
      <c r="D601" s="13" t="s">
        <v>65</v>
      </c>
      <c r="E601" s="14" t="s">
        <v>46</v>
      </c>
      <c r="F601" s="15">
        <v>75</v>
      </c>
      <c r="G601" s="16">
        <v>1.25</v>
      </c>
    </row>
    <row r="602" spans="1:8" ht="19.5" thickBot="1" x14ac:dyDescent="0.45">
      <c r="A602" s="13" t="s">
        <v>64</v>
      </c>
      <c r="B602" s="13" t="s">
        <v>106</v>
      </c>
    </row>
    <row r="603" spans="1:8" ht="19.5" thickBot="1" x14ac:dyDescent="0.45">
      <c r="A603" s="13" t="s">
        <v>64</v>
      </c>
      <c r="B603" s="13" t="s">
        <v>65</v>
      </c>
      <c r="C603" s="14" t="s">
        <v>36</v>
      </c>
      <c r="D603" s="15">
        <v>100</v>
      </c>
      <c r="E603" s="16">
        <v>2.5</v>
      </c>
    </row>
    <row r="604" spans="1:8" ht="19.5" thickBot="1" x14ac:dyDescent="0.45">
      <c r="A604" s="13" t="s">
        <v>64</v>
      </c>
      <c r="C604" s="13" t="s">
        <v>64</v>
      </c>
    </row>
    <row r="605" spans="1:8" ht="19.5" thickBot="1" x14ac:dyDescent="0.45">
      <c r="A605" s="13" t="s">
        <v>64</v>
      </c>
      <c r="C605" s="13" t="s">
        <v>65</v>
      </c>
      <c r="D605" s="14" t="s">
        <v>5</v>
      </c>
      <c r="E605" s="15">
        <v>25</v>
      </c>
      <c r="F605" s="16">
        <v>1.6666666666666667</v>
      </c>
    </row>
    <row r="606" spans="1:8" ht="19.5" thickBot="1" x14ac:dyDescent="0.45">
      <c r="A606" s="13" t="s">
        <v>64</v>
      </c>
      <c r="D606" s="13" t="s">
        <v>64</v>
      </c>
    </row>
    <row r="607" spans="1:8" ht="19.5" thickBot="1" x14ac:dyDescent="0.45">
      <c r="A607" s="13" t="s">
        <v>64</v>
      </c>
      <c r="D607" s="13" t="s">
        <v>65</v>
      </c>
      <c r="E607" s="14" t="s">
        <v>34</v>
      </c>
      <c r="F607" s="15">
        <v>25</v>
      </c>
      <c r="G607" s="16">
        <v>0.83333333333333337</v>
      </c>
    </row>
    <row r="608" spans="1:8" ht="19.5" thickBot="1" x14ac:dyDescent="0.45">
      <c r="A608" s="13" t="s">
        <v>64</v>
      </c>
      <c r="E608" s="13" t="s">
        <v>64</v>
      </c>
    </row>
    <row r="609" spans="1:8" ht="19.5" thickBot="1" x14ac:dyDescent="0.45">
      <c r="A609" s="13" t="s">
        <v>64</v>
      </c>
      <c r="E609" s="13" t="s">
        <v>65</v>
      </c>
      <c r="F609" s="14" t="s">
        <v>33</v>
      </c>
      <c r="G609" s="15">
        <v>25</v>
      </c>
      <c r="H609" s="16">
        <v>0.41666666666666669</v>
      </c>
    </row>
    <row r="610" spans="1:8" ht="19.5" thickBot="1" x14ac:dyDescent="0.45">
      <c r="A610" s="13" t="s">
        <v>106</v>
      </c>
    </row>
    <row r="611" spans="1:8" ht="19.5" thickBot="1" x14ac:dyDescent="0.45">
      <c r="A611" s="13" t="s">
        <v>65</v>
      </c>
      <c r="B611" s="14" t="s">
        <v>96</v>
      </c>
      <c r="C611" s="15">
        <v>1</v>
      </c>
      <c r="D611" s="16">
        <v>0.4</v>
      </c>
    </row>
    <row r="612" spans="1:8" ht="19.5" thickBot="1" x14ac:dyDescent="0.45">
      <c r="B612" s="13" t="s">
        <v>64</v>
      </c>
    </row>
    <row r="613" spans="1:8" ht="19.5" thickBot="1" x14ac:dyDescent="0.45">
      <c r="B613" s="13" t="s">
        <v>66</v>
      </c>
      <c r="C613" s="14" t="s">
        <v>85</v>
      </c>
      <c r="D613" s="15">
        <v>10</v>
      </c>
      <c r="E613" s="16">
        <v>1.3333333333333333</v>
      </c>
    </row>
    <row r="614" spans="1:8" ht="19.5" thickBot="1" x14ac:dyDescent="0.45">
      <c r="B614" s="13" t="s">
        <v>64</v>
      </c>
      <c r="C614" s="13" t="s">
        <v>64</v>
      </c>
    </row>
    <row r="615" spans="1:8" ht="19.5" thickBot="1" x14ac:dyDescent="0.45">
      <c r="B615" s="13" t="s">
        <v>64</v>
      </c>
      <c r="C615" s="13" t="s">
        <v>66</v>
      </c>
      <c r="D615" s="14" t="s">
        <v>40</v>
      </c>
      <c r="E615" s="15">
        <v>20</v>
      </c>
      <c r="F615" s="16">
        <v>2</v>
      </c>
    </row>
    <row r="616" spans="1:8" ht="19.5" thickBot="1" x14ac:dyDescent="0.45">
      <c r="B616" s="13" t="s">
        <v>64</v>
      </c>
      <c r="C616" s="13" t="s">
        <v>64</v>
      </c>
      <c r="D616" s="13" t="s">
        <v>64</v>
      </c>
    </row>
    <row r="617" spans="1:8" ht="19.5" thickBot="1" x14ac:dyDescent="0.45">
      <c r="B617" s="13" t="s">
        <v>64</v>
      </c>
      <c r="C617" s="13" t="s">
        <v>64</v>
      </c>
      <c r="D617" s="13" t="s">
        <v>65</v>
      </c>
      <c r="E617" s="14" t="s">
        <v>41</v>
      </c>
      <c r="F617" s="15">
        <v>40</v>
      </c>
      <c r="G617" s="16">
        <v>1.3333333333333333</v>
      </c>
    </row>
    <row r="618" spans="1:8" ht="19.5" thickBot="1" x14ac:dyDescent="0.45">
      <c r="B618" s="13" t="s">
        <v>64</v>
      </c>
      <c r="C618" s="13" t="s">
        <v>64</v>
      </c>
      <c r="E618" s="13" t="s">
        <v>64</v>
      </c>
    </row>
    <row r="619" spans="1:8" ht="19.5" thickBot="1" x14ac:dyDescent="0.45">
      <c r="B619" s="13" t="s">
        <v>64</v>
      </c>
      <c r="C619" s="13" t="s">
        <v>64</v>
      </c>
      <c r="E619" s="13" t="s">
        <v>65</v>
      </c>
      <c r="F619" s="14" t="s">
        <v>55</v>
      </c>
      <c r="G619" s="15">
        <v>40</v>
      </c>
      <c r="H619" s="16">
        <v>0.66666666666666663</v>
      </c>
    </row>
    <row r="620" spans="1:8" ht="19.5" thickBot="1" x14ac:dyDescent="0.45">
      <c r="B620" s="13" t="s">
        <v>64</v>
      </c>
      <c r="C620" s="13" t="s">
        <v>106</v>
      </c>
    </row>
    <row r="621" spans="1:8" ht="19.5" thickBot="1" x14ac:dyDescent="0.45">
      <c r="B621" s="13" t="s">
        <v>64</v>
      </c>
      <c r="C621" s="13" t="s">
        <v>65</v>
      </c>
      <c r="D621" s="14" t="s">
        <v>88</v>
      </c>
      <c r="E621" s="15">
        <v>40</v>
      </c>
      <c r="F621" s="16">
        <v>2</v>
      </c>
    </row>
    <row r="622" spans="1:8" ht="19.5" thickBot="1" x14ac:dyDescent="0.45">
      <c r="B622" s="13" t="s">
        <v>64</v>
      </c>
      <c r="D622" s="13" t="s">
        <v>64</v>
      </c>
    </row>
    <row r="623" spans="1:8" ht="19.5" thickBot="1" x14ac:dyDescent="0.45">
      <c r="B623" s="13" t="s">
        <v>64</v>
      </c>
      <c r="D623" s="13" t="s">
        <v>65</v>
      </c>
      <c r="E623" s="14" t="s">
        <v>90</v>
      </c>
      <c r="F623" s="15">
        <v>60</v>
      </c>
      <c r="G623" s="16">
        <v>1</v>
      </c>
    </row>
    <row r="624" spans="1:8" ht="19.5" thickBot="1" x14ac:dyDescent="0.45">
      <c r="B624" s="13" t="s">
        <v>106</v>
      </c>
    </row>
    <row r="625" spans="2:7" ht="19.5" thickBot="1" x14ac:dyDescent="0.45">
      <c r="B625" s="13" t="s">
        <v>66</v>
      </c>
      <c r="C625" s="14" t="s">
        <v>44</v>
      </c>
      <c r="D625" s="15">
        <v>9</v>
      </c>
      <c r="E625" s="16">
        <v>0.3</v>
      </c>
    </row>
    <row r="626" spans="2:7" ht="19.5" thickBot="1" x14ac:dyDescent="0.45">
      <c r="B626" s="13" t="s">
        <v>64</v>
      </c>
      <c r="C626" s="13" t="s">
        <v>64</v>
      </c>
    </row>
    <row r="627" spans="2:7" ht="19.5" thickBot="1" x14ac:dyDescent="0.45">
      <c r="B627" s="13" t="s">
        <v>64</v>
      </c>
      <c r="C627" s="13" t="s">
        <v>65</v>
      </c>
      <c r="D627" s="14" t="s">
        <v>41</v>
      </c>
      <c r="E627" s="15">
        <v>4.5</v>
      </c>
      <c r="F627" s="16">
        <v>0.15</v>
      </c>
    </row>
    <row r="628" spans="2:7" ht="19.5" thickBot="1" x14ac:dyDescent="0.45">
      <c r="B628" s="13" t="s">
        <v>64</v>
      </c>
      <c r="D628" s="13" t="s">
        <v>64</v>
      </c>
    </row>
    <row r="629" spans="2:7" ht="19.5" thickBot="1" x14ac:dyDescent="0.45">
      <c r="B629" s="13" t="s">
        <v>64</v>
      </c>
      <c r="D629" s="13" t="s">
        <v>65</v>
      </c>
      <c r="E629" s="14" t="s">
        <v>55</v>
      </c>
      <c r="F629" s="15">
        <v>4.5</v>
      </c>
      <c r="G629" s="16">
        <v>7.4999999999999997E-2</v>
      </c>
    </row>
    <row r="630" spans="2:7" ht="19.5" thickBot="1" x14ac:dyDescent="0.45">
      <c r="B630" s="13" t="s">
        <v>106</v>
      </c>
    </row>
    <row r="631" spans="2:7" ht="19.5" thickBot="1" x14ac:dyDescent="0.45">
      <c r="B631" s="13" t="s">
        <v>66</v>
      </c>
      <c r="C631" s="14" t="s">
        <v>88</v>
      </c>
      <c r="D631" s="15">
        <v>18</v>
      </c>
      <c r="E631" s="16">
        <v>0.9</v>
      </c>
    </row>
    <row r="632" spans="2:7" ht="19.5" thickBot="1" x14ac:dyDescent="0.45">
      <c r="B632" s="13" t="s">
        <v>64</v>
      </c>
      <c r="C632" s="13" t="s">
        <v>64</v>
      </c>
    </row>
    <row r="633" spans="2:7" ht="19.5" thickBot="1" x14ac:dyDescent="0.45">
      <c r="B633" s="13" t="s">
        <v>64</v>
      </c>
      <c r="C633" s="13" t="s">
        <v>65</v>
      </c>
      <c r="D633" s="14" t="s">
        <v>90</v>
      </c>
      <c r="E633" s="15">
        <v>27</v>
      </c>
      <c r="F633" s="16">
        <v>0.45</v>
      </c>
    </row>
    <row r="634" spans="2:7" ht="19.5" thickBot="1" x14ac:dyDescent="0.45">
      <c r="B634" s="13" t="s">
        <v>106</v>
      </c>
    </row>
    <row r="635" spans="2:7" ht="19.5" thickBot="1" x14ac:dyDescent="0.45">
      <c r="B635" s="13" t="s">
        <v>65</v>
      </c>
      <c r="C635" s="14" t="s">
        <v>36</v>
      </c>
      <c r="D635" s="15">
        <v>52</v>
      </c>
      <c r="E635" s="16">
        <v>1.3</v>
      </c>
    </row>
    <row r="636" spans="2:7" ht="19.5" thickBot="1" x14ac:dyDescent="0.45">
      <c r="C636" s="13" t="s">
        <v>64</v>
      </c>
    </row>
    <row r="637" spans="2:7" ht="19.5" thickBot="1" x14ac:dyDescent="0.45">
      <c r="C637" s="13" t="s">
        <v>65</v>
      </c>
      <c r="D637" s="14" t="s">
        <v>5</v>
      </c>
      <c r="E637" s="15">
        <v>13</v>
      </c>
      <c r="F637" s="16">
        <v>0.8666666666666667</v>
      </c>
    </row>
    <row r="638" spans="2:7" ht="19.5" thickBot="1" x14ac:dyDescent="0.45">
      <c r="D638" s="13" t="s">
        <v>64</v>
      </c>
    </row>
    <row r="639" spans="2:7" ht="19.5" thickBot="1" x14ac:dyDescent="0.45">
      <c r="D639" s="13" t="s">
        <v>65</v>
      </c>
      <c r="E639" s="14" t="s">
        <v>34</v>
      </c>
      <c r="F639" s="15">
        <v>13</v>
      </c>
      <c r="G639" s="16">
        <v>0.43333333333333335</v>
      </c>
    </row>
    <row r="640" spans="2:7" ht="19.5" thickBot="1" x14ac:dyDescent="0.45">
      <c r="E640" s="13" t="s">
        <v>64</v>
      </c>
    </row>
    <row r="641" spans="1:8" ht="19.5" thickBot="1" x14ac:dyDescent="0.45">
      <c r="E641" s="13" t="s">
        <v>65</v>
      </c>
      <c r="F641" s="14" t="s">
        <v>33</v>
      </c>
      <c r="G641" s="15">
        <v>13</v>
      </c>
      <c r="H641" s="16">
        <v>0.21666666666666667</v>
      </c>
    </row>
    <row r="643" spans="1:8" x14ac:dyDescent="0.4">
      <c r="A643" t="s">
        <v>63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78C9DD-72E9-418C-BF70-A5843F1283B0}">
  <sheetPr codeName="Sheet1"/>
  <dimension ref="A1"/>
  <sheetViews>
    <sheetView zoomScale="110" zoomScaleNormal="110" workbookViewId="0">
      <selection activeCell="M7" sqref="M7"/>
    </sheetView>
  </sheetViews>
  <sheetFormatPr defaultColWidth="4.5" defaultRowHeight="28.35" customHeight="1" x14ac:dyDescent="0.4"/>
  <sheetData/>
  <phoneticPr fontId="1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5F30D8-A630-45CA-91FA-97FDD3410560}">
  <sheetPr codeName="Sheet3"/>
  <dimension ref="A1:D11"/>
  <sheetViews>
    <sheetView workbookViewId="0">
      <selection activeCell="D12" sqref="D12"/>
    </sheetView>
  </sheetViews>
  <sheetFormatPr defaultRowHeight="18.75" x14ac:dyDescent="0.4"/>
  <cols>
    <col min="1" max="1" width="10.125" customWidth="1"/>
  </cols>
  <sheetData>
    <row r="1" spans="1:4" x14ac:dyDescent="0.4">
      <c r="A1" t="s">
        <v>48</v>
      </c>
      <c r="C1" t="s">
        <v>67</v>
      </c>
      <c r="D1" t="s">
        <v>68</v>
      </c>
    </row>
    <row r="2" spans="1:4" x14ac:dyDescent="0.4">
      <c r="A2">
        <v>1</v>
      </c>
      <c r="B2" s="12" t="s">
        <v>4</v>
      </c>
      <c r="C2">
        <v>1</v>
      </c>
      <c r="D2">
        <v>1</v>
      </c>
    </row>
    <row r="3" spans="1:4" x14ac:dyDescent="0.4">
      <c r="A3">
        <v>2</v>
      </c>
      <c r="B3" s="12" t="s">
        <v>6</v>
      </c>
      <c r="C3">
        <v>2</v>
      </c>
      <c r="D3">
        <v>1</v>
      </c>
    </row>
    <row r="4" spans="1:4" x14ac:dyDescent="0.4">
      <c r="A4">
        <v>3</v>
      </c>
      <c r="B4" t="s">
        <v>35</v>
      </c>
      <c r="C4">
        <v>1</v>
      </c>
      <c r="D4">
        <v>1</v>
      </c>
    </row>
    <row r="5" spans="1:4" x14ac:dyDescent="0.4">
      <c r="A5">
        <v>4</v>
      </c>
      <c r="B5" s="12" t="s">
        <v>37</v>
      </c>
      <c r="C5">
        <v>2</v>
      </c>
      <c r="D5">
        <v>1</v>
      </c>
    </row>
    <row r="6" spans="1:4" x14ac:dyDescent="0.4">
      <c r="A6">
        <v>5</v>
      </c>
      <c r="B6" t="s">
        <v>60</v>
      </c>
      <c r="C6">
        <v>0</v>
      </c>
      <c r="D6">
        <v>1</v>
      </c>
    </row>
    <row r="7" spans="1:4" x14ac:dyDescent="0.4">
      <c r="A7">
        <v>6</v>
      </c>
      <c r="B7" t="s">
        <v>69</v>
      </c>
      <c r="C7">
        <v>1</v>
      </c>
      <c r="D7">
        <v>3</v>
      </c>
    </row>
    <row r="8" spans="1:4" x14ac:dyDescent="0.4">
      <c r="A8">
        <v>7</v>
      </c>
      <c r="B8" t="s">
        <v>70</v>
      </c>
      <c r="C8">
        <v>3</v>
      </c>
      <c r="D8">
        <v>1</v>
      </c>
    </row>
    <row r="9" spans="1:4" x14ac:dyDescent="0.4">
      <c r="A9">
        <v>8</v>
      </c>
      <c r="B9" t="s">
        <v>27</v>
      </c>
      <c r="C9">
        <v>1</v>
      </c>
      <c r="D9">
        <v>1</v>
      </c>
    </row>
    <row r="10" spans="1:4" x14ac:dyDescent="0.4">
      <c r="A10">
        <v>9</v>
      </c>
      <c r="B10" t="s">
        <v>71</v>
      </c>
      <c r="C10">
        <v>2</v>
      </c>
      <c r="D10">
        <v>2</v>
      </c>
    </row>
    <row r="11" spans="1:4" x14ac:dyDescent="0.4">
      <c r="A11">
        <v>10</v>
      </c>
      <c r="B11" t="s">
        <v>82</v>
      </c>
      <c r="C11">
        <v>4</v>
      </c>
      <c r="D11">
        <v>1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049CB-5510-4013-A89D-C1A8DC6539B3}">
  <sheetPr codeName="Sheet5"/>
  <dimension ref="A1:I34"/>
  <sheetViews>
    <sheetView workbookViewId="0">
      <selection activeCell="I3" sqref="I3"/>
    </sheetView>
  </sheetViews>
  <sheetFormatPr defaultRowHeight="18.75" x14ac:dyDescent="0.4"/>
  <cols>
    <col min="3" max="3" width="14.375" customWidth="1"/>
    <col min="4" max="4" width="14.625" customWidth="1"/>
    <col min="5" max="5" width="13" customWidth="1"/>
  </cols>
  <sheetData>
    <row r="1" spans="1:9" x14ac:dyDescent="0.4">
      <c r="A1" t="s">
        <v>48</v>
      </c>
      <c r="B1" t="s">
        <v>72</v>
      </c>
      <c r="D1" t="s">
        <v>73</v>
      </c>
      <c r="I1" t="s">
        <v>76</v>
      </c>
    </row>
    <row r="2" spans="1:9" x14ac:dyDescent="0.4">
      <c r="A2">
        <v>1</v>
      </c>
      <c r="B2">
        <v>5</v>
      </c>
      <c r="C2" t="str">
        <f>VLOOKUP(B2,建造物マスタ!A:B,2,)</f>
        <v>採掘機</v>
      </c>
      <c r="D2">
        <v>22</v>
      </c>
      <c r="E2" t="str">
        <f>VLOOKUP(D2,レシピ!A:B,2,)</f>
        <v>鉄鉱石</v>
      </c>
      <c r="F2">
        <v>1</v>
      </c>
      <c r="I2">
        <v>7</v>
      </c>
    </row>
    <row r="3" spans="1:9" x14ac:dyDescent="0.4">
      <c r="A3">
        <v>2</v>
      </c>
      <c r="B3">
        <v>1</v>
      </c>
      <c r="C3" t="str">
        <f>VLOOKUP(B3,建造物マスタ!A:B,2,)</f>
        <v>精錬炉</v>
      </c>
      <c r="D3">
        <v>1</v>
      </c>
      <c r="E3" t="str">
        <f>VLOOKUP(D3,レシピ!A:B,2,)</f>
        <v>鉄のインゴット</v>
      </c>
      <c r="F3">
        <v>1</v>
      </c>
    </row>
    <row r="4" spans="1:9" x14ac:dyDescent="0.4">
      <c r="A4">
        <v>3</v>
      </c>
      <c r="B4">
        <v>5</v>
      </c>
      <c r="C4" t="str">
        <f>VLOOKUP(B4,建造物マスタ!A:B,2,)</f>
        <v>採掘機</v>
      </c>
      <c r="D4">
        <v>22</v>
      </c>
      <c r="E4" t="str">
        <f>VLOOKUP(D4,レシピ!A:B,2,)</f>
        <v>鉄鉱石</v>
      </c>
      <c r="F4">
        <v>1</v>
      </c>
    </row>
    <row r="5" spans="1:9" x14ac:dyDescent="0.4">
      <c r="A5">
        <v>4</v>
      </c>
      <c r="B5">
        <v>1</v>
      </c>
      <c r="C5" t="str">
        <f>VLOOKUP(B5,建造物マスタ!A:B,2,)</f>
        <v>精錬炉</v>
      </c>
      <c r="D5">
        <v>1</v>
      </c>
      <c r="E5" t="str">
        <f>VLOOKUP(D5,レシピ!A:B,2,)</f>
        <v>鉄のインゴット</v>
      </c>
      <c r="F5">
        <v>1</v>
      </c>
    </row>
    <row r="6" spans="1:9" x14ac:dyDescent="0.4">
      <c r="A6">
        <v>5</v>
      </c>
      <c r="B6">
        <v>7</v>
      </c>
      <c r="C6" t="str">
        <f>VLOOKUP(B6,建造物マスタ!A:B,2,)</f>
        <v>合流機</v>
      </c>
      <c r="D6">
        <v>0</v>
      </c>
      <c r="E6" t="e">
        <f>VLOOKUP(D6,レシピ!A:B,2,)</f>
        <v>#N/A</v>
      </c>
      <c r="F6">
        <v>0</v>
      </c>
    </row>
    <row r="7" spans="1:9" x14ac:dyDescent="0.4">
      <c r="A7">
        <v>6</v>
      </c>
      <c r="B7">
        <v>6</v>
      </c>
      <c r="C7" t="str">
        <f>VLOOKUP(B7,建造物マスタ!A:B,2,)</f>
        <v>分岐機</v>
      </c>
      <c r="D7">
        <v>0</v>
      </c>
      <c r="E7" t="e">
        <f>VLOOKUP(D7,レシピ!A:B,2,)</f>
        <v>#N/A</v>
      </c>
      <c r="F7">
        <v>0</v>
      </c>
    </row>
    <row r="8" spans="1:9" x14ac:dyDescent="0.4">
      <c r="A8">
        <v>7</v>
      </c>
      <c r="B8">
        <v>3</v>
      </c>
      <c r="C8" t="str">
        <f>VLOOKUP(B8,建造物マスタ!A:B,2,)</f>
        <v>製作機</v>
      </c>
      <c r="D8">
        <v>5</v>
      </c>
      <c r="E8" t="str">
        <f>VLOOKUP(D8,レシピ!A:B,2,)</f>
        <v>鉄板</v>
      </c>
      <c r="F8">
        <v>1</v>
      </c>
    </row>
    <row r="9" spans="1:9" x14ac:dyDescent="0.4">
      <c r="A9">
        <v>8</v>
      </c>
      <c r="B9">
        <v>6</v>
      </c>
      <c r="C9" t="str">
        <f>VLOOKUP(B9,建造物マスタ!A:B,2,)</f>
        <v>分岐機</v>
      </c>
      <c r="D9">
        <v>0</v>
      </c>
      <c r="E9" t="e">
        <f>VLOOKUP(D9,レシピ!A:B,2,)</f>
        <v>#N/A</v>
      </c>
      <c r="F9">
        <v>0</v>
      </c>
    </row>
    <row r="10" spans="1:9" x14ac:dyDescent="0.4">
      <c r="A10">
        <v>9</v>
      </c>
      <c r="B10">
        <v>8</v>
      </c>
      <c r="C10" t="str">
        <f>VLOOKUP(B10,建造物マスタ!A:B,2,)</f>
        <v>貯蔵コンテナ</v>
      </c>
      <c r="D10">
        <v>0</v>
      </c>
      <c r="E10" t="e">
        <f>VLOOKUP(D10,レシピ!A:B,2,)</f>
        <v>#N/A</v>
      </c>
      <c r="F10">
        <v>0</v>
      </c>
    </row>
    <row r="11" spans="1:9" x14ac:dyDescent="0.4">
      <c r="A11">
        <v>10</v>
      </c>
      <c r="B11">
        <v>3</v>
      </c>
      <c r="C11" t="str">
        <f>VLOOKUP(B11,建造物マスタ!A:B,2,)</f>
        <v>製作機</v>
      </c>
      <c r="D11">
        <v>4</v>
      </c>
      <c r="E11" t="str">
        <f>VLOOKUP(D11,レシピ!A:B,2,)</f>
        <v>鉄のロッド</v>
      </c>
    </row>
    <row r="12" spans="1:9" x14ac:dyDescent="0.4">
      <c r="A12">
        <v>11</v>
      </c>
      <c r="B12">
        <v>3</v>
      </c>
      <c r="C12" t="str">
        <f>VLOOKUP(B12,建造物マスタ!A:B,2,)</f>
        <v>製作機</v>
      </c>
      <c r="D12">
        <v>4</v>
      </c>
      <c r="E12" t="str">
        <f>VLOOKUP(D12,レシピ!A:B,2,)</f>
        <v>鉄のロッド</v>
      </c>
    </row>
    <row r="13" spans="1:9" x14ac:dyDescent="0.4">
      <c r="A13">
        <v>12</v>
      </c>
      <c r="B13">
        <v>6</v>
      </c>
      <c r="C13" t="str">
        <f>VLOOKUP(B13,建造物マスタ!A:B,2,)</f>
        <v>分岐機</v>
      </c>
      <c r="D13">
        <v>0</v>
      </c>
      <c r="E13" t="e">
        <f>VLOOKUP(D13,レシピ!A:B,2,)</f>
        <v>#N/A</v>
      </c>
    </row>
    <row r="14" spans="1:9" x14ac:dyDescent="0.4">
      <c r="A14">
        <v>13</v>
      </c>
      <c r="B14">
        <v>8</v>
      </c>
      <c r="C14" t="str">
        <f>VLOOKUP(B14,建造物マスタ!A:B,2,)</f>
        <v>貯蔵コンテナ</v>
      </c>
      <c r="D14">
        <v>0</v>
      </c>
      <c r="E14" t="e">
        <f>VLOOKUP(D14,レシピ!A:B,2,)</f>
        <v>#N/A</v>
      </c>
    </row>
    <row r="15" spans="1:9" x14ac:dyDescent="0.4">
      <c r="A15">
        <v>14</v>
      </c>
      <c r="B15">
        <v>6</v>
      </c>
      <c r="C15" t="str">
        <f>VLOOKUP(B15,建造物マスタ!A:B,2,)</f>
        <v>分岐機</v>
      </c>
      <c r="D15">
        <v>0</v>
      </c>
      <c r="E15" t="e">
        <f>VLOOKUP(D15,レシピ!A:B,2,)</f>
        <v>#N/A</v>
      </c>
    </row>
    <row r="16" spans="1:9" x14ac:dyDescent="0.4">
      <c r="A16">
        <v>15</v>
      </c>
      <c r="B16">
        <v>3</v>
      </c>
      <c r="C16" t="str">
        <f>VLOOKUP(B16,建造物マスタ!A:B,2,)</f>
        <v>製作機</v>
      </c>
      <c r="D16">
        <v>6</v>
      </c>
      <c r="E16" t="str">
        <f>VLOOKUP(D16,レシピ!A:B,2,)</f>
        <v>ネジ</v>
      </c>
    </row>
    <row r="17" spans="1:5" x14ac:dyDescent="0.4">
      <c r="A17">
        <v>16</v>
      </c>
      <c r="B17">
        <v>6</v>
      </c>
      <c r="C17" t="str">
        <f>VLOOKUP(B17,建造物マスタ!A:B,2,)</f>
        <v>分岐機</v>
      </c>
      <c r="D17">
        <v>0</v>
      </c>
      <c r="E17" t="e">
        <f>VLOOKUP(D17,レシピ!A:B,2,)</f>
        <v>#N/A</v>
      </c>
    </row>
    <row r="18" spans="1:5" x14ac:dyDescent="0.4">
      <c r="A18">
        <v>17</v>
      </c>
      <c r="B18">
        <v>6</v>
      </c>
      <c r="C18" t="str">
        <f>VLOOKUP(B18,建造物マスタ!A:B,2,)</f>
        <v>分岐機</v>
      </c>
      <c r="D18">
        <v>0</v>
      </c>
      <c r="E18" t="e">
        <f>VLOOKUP(D18,レシピ!A:B,2,)</f>
        <v>#N/A</v>
      </c>
    </row>
    <row r="19" spans="1:5" x14ac:dyDescent="0.4">
      <c r="A19">
        <v>18</v>
      </c>
      <c r="B19">
        <v>8</v>
      </c>
      <c r="C19" t="str">
        <f>VLOOKUP(B19,建造物マスタ!A:B,2,)</f>
        <v>貯蔵コンテナ</v>
      </c>
      <c r="D19">
        <v>0</v>
      </c>
      <c r="E19" t="e">
        <f>VLOOKUP(D19,レシピ!A:B,2,)</f>
        <v>#N/A</v>
      </c>
    </row>
    <row r="20" spans="1:5" x14ac:dyDescent="0.4">
      <c r="A20">
        <v>19</v>
      </c>
      <c r="B20">
        <v>6</v>
      </c>
      <c r="C20" t="str">
        <f>VLOOKUP(B20,建造物マスタ!A:B,2,)</f>
        <v>分岐機</v>
      </c>
      <c r="D20">
        <v>0</v>
      </c>
      <c r="E20" t="e">
        <f>VLOOKUP(D20,レシピ!A:B,2,)</f>
        <v>#N/A</v>
      </c>
    </row>
    <row r="21" spans="1:5" x14ac:dyDescent="0.4">
      <c r="A21">
        <v>20</v>
      </c>
      <c r="B21">
        <v>7</v>
      </c>
      <c r="C21" t="str">
        <f>VLOOKUP(B21,建造物マスタ!A:B,2,)</f>
        <v>合流機</v>
      </c>
      <c r="D21">
        <v>0</v>
      </c>
      <c r="E21" t="e">
        <f>VLOOKUP(D21,レシピ!A:B,2,)</f>
        <v>#N/A</v>
      </c>
    </row>
    <row r="22" spans="1:5" x14ac:dyDescent="0.4">
      <c r="A22">
        <v>21</v>
      </c>
      <c r="B22">
        <v>6</v>
      </c>
      <c r="C22" t="str">
        <f>VLOOKUP(B22,建造物マスタ!A:B,2,)</f>
        <v>分岐機</v>
      </c>
      <c r="D22">
        <v>0</v>
      </c>
      <c r="E22" t="e">
        <f>VLOOKUP(D22,レシピ!A:B,2,)</f>
        <v>#N/A</v>
      </c>
    </row>
    <row r="23" spans="1:5" x14ac:dyDescent="0.4">
      <c r="A23">
        <v>22</v>
      </c>
      <c r="B23">
        <v>4</v>
      </c>
      <c r="C23" t="str">
        <f>VLOOKUP(B23,建造物マスタ!A:B,2,)</f>
        <v>組立器</v>
      </c>
      <c r="D23">
        <v>7</v>
      </c>
      <c r="E23" t="str">
        <f>VLOOKUP(D23,レシピ!A:B,2,)</f>
        <v>ローター</v>
      </c>
    </row>
    <row r="24" spans="1:5" x14ac:dyDescent="0.4">
      <c r="A24">
        <v>23</v>
      </c>
      <c r="B24">
        <v>4</v>
      </c>
      <c r="C24" t="str">
        <f>VLOOKUP(B24,建造物マスタ!A:B,2,)</f>
        <v>組立器</v>
      </c>
      <c r="D24">
        <v>8</v>
      </c>
      <c r="E24" t="str">
        <f>VLOOKUP(D24,レシピ!A:B,2,)</f>
        <v>強化鉄板</v>
      </c>
    </row>
    <row r="25" spans="1:5" x14ac:dyDescent="0.4">
      <c r="A25">
        <v>24</v>
      </c>
      <c r="B25">
        <v>6</v>
      </c>
      <c r="C25" t="str">
        <f>VLOOKUP(B25,建造物マスタ!A:B,2,)</f>
        <v>分岐機</v>
      </c>
      <c r="D25">
        <v>0</v>
      </c>
      <c r="E25" t="e">
        <f>VLOOKUP(D25,レシピ!A:B,2,)</f>
        <v>#N/A</v>
      </c>
    </row>
    <row r="26" spans="1:5" x14ac:dyDescent="0.4">
      <c r="A26">
        <v>25</v>
      </c>
      <c r="B26">
        <v>8</v>
      </c>
      <c r="C26" t="str">
        <f>VLOOKUP(B26,建造物マスタ!A:B,2,)</f>
        <v>貯蔵コンテナ</v>
      </c>
      <c r="D26">
        <v>0</v>
      </c>
      <c r="E26" t="e">
        <f>VLOOKUP(D26,レシピ!A:B,2,)</f>
        <v>#N/A</v>
      </c>
    </row>
    <row r="27" spans="1:5" x14ac:dyDescent="0.4">
      <c r="A27">
        <v>26</v>
      </c>
      <c r="B27">
        <v>4</v>
      </c>
      <c r="C27" t="str">
        <f>VLOOKUP(B27,建造物マスタ!A:B,2,)</f>
        <v>組立器</v>
      </c>
      <c r="D27">
        <v>19</v>
      </c>
      <c r="E27" t="str">
        <f>VLOOKUP(D27,レシピ!A:B,2,)</f>
        <v>スマートプレート</v>
      </c>
    </row>
    <row r="28" spans="1:5" x14ac:dyDescent="0.4">
      <c r="A28">
        <v>27</v>
      </c>
      <c r="B28">
        <v>6</v>
      </c>
      <c r="C28" t="str">
        <f>VLOOKUP(B28,建造物マスタ!A:B,2,)</f>
        <v>分岐機</v>
      </c>
      <c r="D28">
        <v>0</v>
      </c>
      <c r="E28" t="e">
        <f>VLOOKUP(D28,レシピ!A:B,2,)</f>
        <v>#N/A</v>
      </c>
    </row>
    <row r="29" spans="1:5" x14ac:dyDescent="0.4">
      <c r="A29">
        <v>28</v>
      </c>
      <c r="B29">
        <v>8</v>
      </c>
      <c r="C29" t="str">
        <f>VLOOKUP(B29,建造物マスタ!A:B,2,)</f>
        <v>貯蔵コンテナ</v>
      </c>
      <c r="D29">
        <v>0</v>
      </c>
      <c r="E29" t="e">
        <f>VLOOKUP(D29,レシピ!A:B,2,)</f>
        <v>#N/A</v>
      </c>
    </row>
    <row r="30" spans="1:5" x14ac:dyDescent="0.4">
      <c r="A30">
        <v>29</v>
      </c>
      <c r="B30">
        <v>6</v>
      </c>
      <c r="C30" t="str">
        <f>VLOOKUP(B30,建造物マスタ!A:B,2,)</f>
        <v>分岐機</v>
      </c>
      <c r="D30">
        <v>0</v>
      </c>
      <c r="E30" t="e">
        <f>VLOOKUP(D30,レシピ!A:B,2,)</f>
        <v>#N/A</v>
      </c>
    </row>
    <row r="31" spans="1:5" x14ac:dyDescent="0.4">
      <c r="A31">
        <v>30</v>
      </c>
      <c r="B31">
        <v>8</v>
      </c>
      <c r="C31" t="str">
        <f>VLOOKUP(B31,建造物マスタ!A:B,2,)</f>
        <v>貯蔵コンテナ</v>
      </c>
      <c r="D31">
        <v>0</v>
      </c>
      <c r="E31" t="e">
        <f>VLOOKUP(D31,レシピ!A:B,2,)</f>
        <v>#N/A</v>
      </c>
    </row>
    <row r="32" spans="1:5" x14ac:dyDescent="0.4">
      <c r="A32">
        <v>31</v>
      </c>
      <c r="B32">
        <v>8</v>
      </c>
      <c r="C32" t="str">
        <f>VLOOKUP(B32,建造物マスタ!A:B,2,)</f>
        <v>貯蔵コンテナ</v>
      </c>
      <c r="D32">
        <v>0</v>
      </c>
      <c r="E32" t="e">
        <f>VLOOKUP(D32,レシピ!A:B,2,)</f>
        <v>#N/A</v>
      </c>
    </row>
    <row r="33" spans="1:5" x14ac:dyDescent="0.4">
      <c r="A33">
        <v>32</v>
      </c>
      <c r="B33">
        <v>4</v>
      </c>
      <c r="C33" t="str">
        <f>VLOOKUP(B33,建造物マスタ!A:B,2,)</f>
        <v>組立器</v>
      </c>
      <c r="D33">
        <v>9</v>
      </c>
      <c r="E33" t="str">
        <f>VLOOKUP(D33,レシピ!A:B,2,)</f>
        <v>モジュラーフレーム</v>
      </c>
    </row>
    <row r="34" spans="1:5" x14ac:dyDescent="0.4">
      <c r="A34">
        <v>33</v>
      </c>
      <c r="B34">
        <v>3</v>
      </c>
      <c r="C34" t="str">
        <f>VLOOKUP(B34,建造物マスタ!A:B,2,)</f>
        <v>製作機</v>
      </c>
      <c r="D34">
        <v>6</v>
      </c>
      <c r="E34" t="str">
        <f>VLOOKUP(D34,レシピ!A:B,2,)</f>
        <v>ネジ</v>
      </c>
    </row>
  </sheetData>
  <phoneticPr fontId="1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4FF30-A7A6-495D-B043-3895C9F067B8}">
  <sheetPr codeName="Sheet6"/>
  <dimension ref="A1:I37"/>
  <sheetViews>
    <sheetView workbookViewId="0">
      <selection activeCell="I3" sqref="I3"/>
    </sheetView>
  </sheetViews>
  <sheetFormatPr defaultRowHeight="18.75" x14ac:dyDescent="0.4"/>
  <sheetData>
    <row r="1" spans="1:9" x14ac:dyDescent="0.4">
      <c r="A1" t="s">
        <v>48</v>
      </c>
      <c r="B1" t="s">
        <v>74</v>
      </c>
      <c r="C1" t="s">
        <v>75</v>
      </c>
      <c r="I1" t="s">
        <v>77</v>
      </c>
    </row>
    <row r="2" spans="1:9" x14ac:dyDescent="0.4">
      <c r="A2">
        <v>1</v>
      </c>
      <c r="B2">
        <v>1</v>
      </c>
      <c r="C2">
        <v>2</v>
      </c>
      <c r="D2" t="str">
        <f>VLOOKUP(B2,建造物!A:C,3,)</f>
        <v>採掘機</v>
      </c>
      <c r="E2" t="str">
        <f>VLOOKUP(C2,建造物!A:C,3,)</f>
        <v>精錬炉</v>
      </c>
      <c r="I2">
        <v>6</v>
      </c>
    </row>
    <row r="3" spans="1:9" x14ac:dyDescent="0.4">
      <c r="A3">
        <v>2</v>
      </c>
      <c r="B3">
        <v>3</v>
      </c>
      <c r="C3">
        <v>4</v>
      </c>
      <c r="D3" t="str">
        <f>VLOOKUP(B3,建造物!A:C,3,)</f>
        <v>採掘機</v>
      </c>
      <c r="E3" t="str">
        <f>VLOOKUP(C3,建造物!A:C,3,)</f>
        <v>精錬炉</v>
      </c>
    </row>
    <row r="4" spans="1:9" x14ac:dyDescent="0.4">
      <c r="A4">
        <v>3</v>
      </c>
      <c r="B4">
        <v>2</v>
      </c>
      <c r="C4">
        <v>5</v>
      </c>
      <c r="D4" t="str">
        <f>VLOOKUP(B4,建造物!A:C,3,)</f>
        <v>精錬炉</v>
      </c>
      <c r="E4" t="str">
        <f>VLOOKUP(C4,建造物!A:C,3,)</f>
        <v>合流機</v>
      </c>
    </row>
    <row r="5" spans="1:9" x14ac:dyDescent="0.4">
      <c r="A5">
        <v>4</v>
      </c>
      <c r="B5">
        <v>4</v>
      </c>
      <c r="C5">
        <v>5</v>
      </c>
      <c r="D5" t="str">
        <f>VLOOKUP(B5,建造物!A:C,3,)</f>
        <v>精錬炉</v>
      </c>
      <c r="E5" t="str">
        <f>VLOOKUP(C5,建造物!A:C,3,)</f>
        <v>合流機</v>
      </c>
    </row>
    <row r="6" spans="1:9" x14ac:dyDescent="0.4">
      <c r="A6">
        <v>5</v>
      </c>
      <c r="B6">
        <v>5</v>
      </c>
      <c r="C6">
        <v>6</v>
      </c>
      <c r="D6" t="str">
        <f>VLOOKUP(B6,建造物!A:C,3,)</f>
        <v>合流機</v>
      </c>
      <c r="E6" t="str">
        <f>VLOOKUP(C6,建造物!A:C,3,)</f>
        <v>分岐機</v>
      </c>
    </row>
    <row r="7" spans="1:9" x14ac:dyDescent="0.4">
      <c r="A7">
        <v>6</v>
      </c>
      <c r="B7">
        <v>6</v>
      </c>
      <c r="C7">
        <v>7</v>
      </c>
      <c r="D7" t="str">
        <f>VLOOKUP(B7,建造物!A:C,3,)</f>
        <v>分岐機</v>
      </c>
      <c r="E7" t="str">
        <f>VLOOKUP(C7,建造物!A:C,3,)</f>
        <v>製作機</v>
      </c>
    </row>
    <row r="8" spans="1:9" x14ac:dyDescent="0.4">
      <c r="A8">
        <v>7</v>
      </c>
      <c r="B8">
        <v>7</v>
      </c>
      <c r="C8">
        <v>8</v>
      </c>
      <c r="D8" t="str">
        <f>VLOOKUP(B8,建造物!A:C,3,)</f>
        <v>製作機</v>
      </c>
      <c r="E8" t="str">
        <f>VLOOKUP(C8,建造物!A:C,3,)</f>
        <v>分岐機</v>
      </c>
    </row>
    <row r="9" spans="1:9" x14ac:dyDescent="0.4">
      <c r="A9">
        <v>8</v>
      </c>
      <c r="B9">
        <v>8</v>
      </c>
      <c r="C9">
        <v>9</v>
      </c>
      <c r="D9" t="str">
        <f>VLOOKUP(B9,建造物!A:C,3,)</f>
        <v>分岐機</v>
      </c>
      <c r="E9" t="str">
        <f>VLOOKUP(C9,建造物!A:C,3,)</f>
        <v>貯蔵コンテナ</v>
      </c>
    </row>
    <row r="10" spans="1:9" x14ac:dyDescent="0.4">
      <c r="A10">
        <v>9</v>
      </c>
      <c r="B10">
        <v>6</v>
      </c>
      <c r="C10">
        <v>10</v>
      </c>
      <c r="D10" t="str">
        <f>VLOOKUP(B10,建造物!A:C,3,)</f>
        <v>分岐機</v>
      </c>
      <c r="E10" t="str">
        <f>VLOOKUP(C10,建造物!A:C,3,)</f>
        <v>製作機</v>
      </c>
    </row>
    <row r="11" spans="1:9" x14ac:dyDescent="0.4">
      <c r="A11">
        <v>10</v>
      </c>
      <c r="B11">
        <v>10</v>
      </c>
      <c r="C11">
        <v>33</v>
      </c>
      <c r="D11" t="str">
        <f>VLOOKUP(B11,建造物!A:C,3,)</f>
        <v>製作機</v>
      </c>
      <c r="E11" t="str">
        <f>VLOOKUP(C11,建造物!A:C,3,)</f>
        <v>製作機</v>
      </c>
    </row>
    <row r="12" spans="1:9" x14ac:dyDescent="0.4">
      <c r="A12">
        <v>11</v>
      </c>
      <c r="B12">
        <v>33</v>
      </c>
      <c r="C12">
        <v>20</v>
      </c>
      <c r="D12" t="str">
        <f>VLOOKUP(B12,建造物!A:C,3,)</f>
        <v>製作機</v>
      </c>
      <c r="E12" t="str">
        <f>VLOOKUP(C12,建造物!A:C,3,)</f>
        <v>合流機</v>
      </c>
    </row>
    <row r="13" spans="1:9" x14ac:dyDescent="0.4">
      <c r="A13">
        <v>12</v>
      </c>
      <c r="B13">
        <v>20</v>
      </c>
      <c r="C13">
        <v>21</v>
      </c>
      <c r="D13" t="str">
        <f>VLOOKUP(B13,建造物!A:C,3,)</f>
        <v>合流機</v>
      </c>
      <c r="E13" t="str">
        <f>VLOOKUP(C13,建造物!A:C,3,)</f>
        <v>分岐機</v>
      </c>
    </row>
    <row r="14" spans="1:9" x14ac:dyDescent="0.4">
      <c r="A14">
        <v>13</v>
      </c>
      <c r="B14">
        <v>21</v>
      </c>
      <c r="C14">
        <v>23</v>
      </c>
      <c r="D14" t="str">
        <f>VLOOKUP(B14,建造物!A:C,3,)</f>
        <v>分岐機</v>
      </c>
      <c r="E14" t="str">
        <f>VLOOKUP(C14,建造物!A:C,3,)</f>
        <v>組立器</v>
      </c>
    </row>
    <row r="15" spans="1:9" x14ac:dyDescent="0.4">
      <c r="A15">
        <v>14</v>
      </c>
      <c r="B15">
        <v>8</v>
      </c>
      <c r="C15">
        <v>23</v>
      </c>
      <c r="D15" t="str">
        <f>VLOOKUP(B15,建造物!A:C,3,)</f>
        <v>分岐機</v>
      </c>
      <c r="E15" t="str">
        <f>VLOOKUP(C15,建造物!A:C,3,)</f>
        <v>組立器</v>
      </c>
    </row>
    <row r="16" spans="1:9" x14ac:dyDescent="0.4">
      <c r="A16">
        <v>15</v>
      </c>
      <c r="B16">
        <v>6</v>
      </c>
      <c r="C16">
        <v>11</v>
      </c>
      <c r="D16" t="str">
        <f>VLOOKUP(B16,建造物!A:C,3,)</f>
        <v>分岐機</v>
      </c>
      <c r="E16" t="str">
        <f>VLOOKUP(C16,建造物!A:C,3,)</f>
        <v>製作機</v>
      </c>
    </row>
    <row r="17" spans="1:5" x14ac:dyDescent="0.4">
      <c r="A17">
        <v>16</v>
      </c>
      <c r="B17">
        <v>11</v>
      </c>
      <c r="C17">
        <v>12</v>
      </c>
      <c r="D17" t="str">
        <f>VLOOKUP(B17,建造物!A:C,3,)</f>
        <v>製作機</v>
      </c>
      <c r="E17" t="str">
        <f>VLOOKUP(C17,建造物!A:C,3,)</f>
        <v>分岐機</v>
      </c>
    </row>
    <row r="18" spans="1:5" x14ac:dyDescent="0.4">
      <c r="A18">
        <v>17</v>
      </c>
      <c r="B18">
        <v>12</v>
      </c>
      <c r="C18">
        <v>13</v>
      </c>
      <c r="D18" t="str">
        <f>VLOOKUP(B18,建造物!A:C,3,)</f>
        <v>分岐機</v>
      </c>
      <c r="E18" t="str">
        <f>VLOOKUP(C18,建造物!A:C,3,)</f>
        <v>貯蔵コンテナ</v>
      </c>
    </row>
    <row r="19" spans="1:5" x14ac:dyDescent="0.4">
      <c r="A19">
        <v>18</v>
      </c>
      <c r="B19">
        <v>12</v>
      </c>
      <c r="C19">
        <v>14</v>
      </c>
      <c r="D19" t="str">
        <f>VLOOKUP(B19,建造物!A:C,3,)</f>
        <v>分岐機</v>
      </c>
      <c r="E19" t="str">
        <f>VLOOKUP(C19,建造物!A:C,3,)</f>
        <v>分岐機</v>
      </c>
    </row>
    <row r="20" spans="1:5" x14ac:dyDescent="0.4">
      <c r="A20">
        <v>19</v>
      </c>
      <c r="B20">
        <v>12</v>
      </c>
      <c r="C20">
        <v>15</v>
      </c>
      <c r="D20" t="str">
        <f>VLOOKUP(B20,建造物!A:C,3,)</f>
        <v>分岐機</v>
      </c>
      <c r="E20" t="str">
        <f>VLOOKUP(C20,建造物!A:C,3,)</f>
        <v>製作機</v>
      </c>
    </row>
    <row r="21" spans="1:5" x14ac:dyDescent="0.4">
      <c r="A21">
        <v>20</v>
      </c>
      <c r="B21">
        <v>15</v>
      </c>
      <c r="C21">
        <v>16</v>
      </c>
      <c r="D21" t="str">
        <f>VLOOKUP(B21,建造物!A:C,3,)</f>
        <v>製作機</v>
      </c>
      <c r="E21" t="str">
        <f>VLOOKUP(C21,建造物!A:C,3,)</f>
        <v>分岐機</v>
      </c>
    </row>
    <row r="22" spans="1:5" x14ac:dyDescent="0.4">
      <c r="A22">
        <v>21</v>
      </c>
      <c r="B22">
        <v>16</v>
      </c>
      <c r="C22">
        <v>17</v>
      </c>
      <c r="D22" t="str">
        <f>VLOOKUP(B22,建造物!A:C,3,)</f>
        <v>分岐機</v>
      </c>
      <c r="E22" t="str">
        <f>VLOOKUP(C22,建造物!A:C,3,)</f>
        <v>分岐機</v>
      </c>
    </row>
    <row r="23" spans="1:5" x14ac:dyDescent="0.4">
      <c r="A23">
        <v>22</v>
      </c>
      <c r="B23">
        <v>17</v>
      </c>
      <c r="C23">
        <v>18</v>
      </c>
      <c r="D23" t="str">
        <f>VLOOKUP(B23,建造物!A:C,3,)</f>
        <v>分岐機</v>
      </c>
      <c r="E23" t="str">
        <f>VLOOKUP(C23,建造物!A:C,3,)</f>
        <v>貯蔵コンテナ</v>
      </c>
    </row>
    <row r="24" spans="1:5" x14ac:dyDescent="0.4">
      <c r="A24">
        <v>23</v>
      </c>
      <c r="B24">
        <v>17</v>
      </c>
      <c r="C24">
        <v>20</v>
      </c>
      <c r="D24" t="str">
        <f>VLOOKUP(B24,建造物!A:C,3,)</f>
        <v>分岐機</v>
      </c>
      <c r="E24" t="str">
        <f>VLOOKUP(C24,建造物!A:C,3,)</f>
        <v>合流機</v>
      </c>
    </row>
    <row r="25" spans="1:5" x14ac:dyDescent="0.4">
      <c r="A25">
        <v>24</v>
      </c>
      <c r="B25">
        <v>14</v>
      </c>
      <c r="C25">
        <v>19</v>
      </c>
      <c r="D25" t="str">
        <f>VLOOKUP(B25,建造物!A:C,3,)</f>
        <v>分岐機</v>
      </c>
      <c r="E25" t="str">
        <f>VLOOKUP(C25,建造物!A:C,3,)</f>
        <v>分岐機</v>
      </c>
    </row>
    <row r="26" spans="1:5" x14ac:dyDescent="0.4">
      <c r="A26">
        <v>25</v>
      </c>
      <c r="B26">
        <v>19</v>
      </c>
      <c r="C26">
        <v>32</v>
      </c>
      <c r="D26" t="str">
        <f>VLOOKUP(B26,建造物!A:C,3,)</f>
        <v>分岐機</v>
      </c>
      <c r="E26" t="str">
        <f>VLOOKUP(C26,建造物!A:C,3,)</f>
        <v>組立器</v>
      </c>
    </row>
    <row r="27" spans="1:5" x14ac:dyDescent="0.4">
      <c r="A27">
        <v>26</v>
      </c>
      <c r="B27">
        <v>19</v>
      </c>
      <c r="C27">
        <v>22</v>
      </c>
      <c r="D27" t="str">
        <f>VLOOKUP(B27,建造物!A:C,3,)</f>
        <v>分岐機</v>
      </c>
      <c r="E27" t="str">
        <f>VLOOKUP(C27,建造物!A:C,3,)</f>
        <v>組立器</v>
      </c>
    </row>
    <row r="28" spans="1:5" x14ac:dyDescent="0.4">
      <c r="A28">
        <v>27</v>
      </c>
      <c r="B28">
        <v>21</v>
      </c>
      <c r="C28">
        <v>22</v>
      </c>
      <c r="D28" t="str">
        <f>VLOOKUP(B28,建造物!A:C,3,)</f>
        <v>分岐機</v>
      </c>
      <c r="E28" t="str">
        <f>VLOOKUP(C28,建造物!A:C,3,)</f>
        <v>組立器</v>
      </c>
    </row>
    <row r="29" spans="1:5" x14ac:dyDescent="0.4">
      <c r="A29">
        <v>28</v>
      </c>
      <c r="B29">
        <v>23</v>
      </c>
      <c r="C29">
        <v>24</v>
      </c>
      <c r="D29" t="str">
        <f>VLOOKUP(B29,建造物!A:C,3,)</f>
        <v>組立器</v>
      </c>
      <c r="E29" t="str">
        <f>VLOOKUP(C29,建造物!A:C,3,)</f>
        <v>分岐機</v>
      </c>
    </row>
    <row r="30" spans="1:5" x14ac:dyDescent="0.4">
      <c r="A30">
        <v>29</v>
      </c>
      <c r="B30">
        <v>24</v>
      </c>
      <c r="C30">
        <v>25</v>
      </c>
      <c r="D30" t="str">
        <f>VLOOKUP(B30,建造物!A:C,3,)</f>
        <v>分岐機</v>
      </c>
      <c r="E30" t="str">
        <f>VLOOKUP(C30,建造物!A:C,3,)</f>
        <v>貯蔵コンテナ</v>
      </c>
    </row>
    <row r="31" spans="1:5" x14ac:dyDescent="0.4">
      <c r="A31">
        <v>30</v>
      </c>
      <c r="B31">
        <v>24</v>
      </c>
      <c r="C31">
        <v>32</v>
      </c>
      <c r="D31" t="str">
        <f>VLOOKUP(B31,建造物!A:C,3,)</f>
        <v>分岐機</v>
      </c>
      <c r="E31" t="str">
        <f>VLOOKUP(C31,建造物!A:C,3,)</f>
        <v>組立器</v>
      </c>
    </row>
    <row r="32" spans="1:5" x14ac:dyDescent="0.4">
      <c r="A32">
        <v>31</v>
      </c>
      <c r="B32">
        <v>32</v>
      </c>
      <c r="C32">
        <v>31</v>
      </c>
      <c r="D32" t="str">
        <f>VLOOKUP(B32,建造物!A:C,3,)</f>
        <v>組立器</v>
      </c>
      <c r="E32" t="str">
        <f>VLOOKUP(C32,建造物!A:C,3,)</f>
        <v>貯蔵コンテナ</v>
      </c>
    </row>
    <row r="33" spans="1:5" x14ac:dyDescent="0.4">
      <c r="A33">
        <v>32</v>
      </c>
      <c r="B33">
        <v>29</v>
      </c>
      <c r="C33">
        <v>30</v>
      </c>
      <c r="D33" t="str">
        <f>VLOOKUP(B33,建造物!A:C,3,)</f>
        <v>分岐機</v>
      </c>
      <c r="E33" t="str">
        <f>VLOOKUP(C33,建造物!A:C,3,)</f>
        <v>貯蔵コンテナ</v>
      </c>
    </row>
    <row r="34" spans="1:5" x14ac:dyDescent="0.4">
      <c r="A34">
        <v>33</v>
      </c>
      <c r="B34">
        <v>24</v>
      </c>
      <c r="C34">
        <v>26</v>
      </c>
      <c r="D34" t="str">
        <f>VLOOKUP(B34,建造物!A:C,3,)</f>
        <v>分岐機</v>
      </c>
      <c r="E34" t="str">
        <f>VLOOKUP(C34,建造物!A:C,3,)</f>
        <v>組立器</v>
      </c>
    </row>
    <row r="35" spans="1:5" x14ac:dyDescent="0.4">
      <c r="A35">
        <v>34</v>
      </c>
      <c r="B35">
        <v>29</v>
      </c>
      <c r="C35">
        <v>26</v>
      </c>
      <c r="D35" t="str">
        <f>VLOOKUP(B35,建造物!A:C,3,)</f>
        <v>分岐機</v>
      </c>
      <c r="E35" t="str">
        <f>VLOOKUP(C35,建造物!A:C,3,)</f>
        <v>組立器</v>
      </c>
    </row>
    <row r="36" spans="1:5" x14ac:dyDescent="0.4">
      <c r="A36">
        <v>35</v>
      </c>
      <c r="B36">
        <v>27</v>
      </c>
      <c r="C36">
        <v>28</v>
      </c>
      <c r="D36" t="str">
        <f>VLOOKUP(B36,建造物!A:C,3,)</f>
        <v>分岐機</v>
      </c>
      <c r="E36" t="str">
        <f>VLOOKUP(C36,建造物!A:C,3,)</f>
        <v>貯蔵コンテナ</v>
      </c>
    </row>
    <row r="37" spans="1:5" x14ac:dyDescent="0.4">
      <c r="A37">
        <v>36</v>
      </c>
      <c r="B37">
        <v>26</v>
      </c>
      <c r="C37">
        <v>27</v>
      </c>
      <c r="D37" t="str">
        <f>VLOOKUP(B37,建造物!A:C,3,)</f>
        <v>組立器</v>
      </c>
      <c r="E37" t="str">
        <f>VLOOKUP(C37,建造物!A:C,3,)</f>
        <v>分岐機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材料費</vt:lpstr>
      <vt:lpstr>レシピ</vt:lpstr>
      <vt:lpstr>レシピ２</vt:lpstr>
      <vt:lpstr>設計図</vt:lpstr>
      <vt:lpstr>建造物マスタ</vt:lpstr>
      <vt:lpstr>建造物</vt:lpstr>
      <vt:lpstr>ライン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url lavie</dc:creator>
  <cp:lastModifiedBy>lavie url</cp:lastModifiedBy>
  <dcterms:created xsi:type="dcterms:W3CDTF">2020-10-24T14:24:13Z</dcterms:created>
  <dcterms:modified xsi:type="dcterms:W3CDTF">2020-11-22T08:47:12Z</dcterms:modified>
</cp:coreProperties>
</file>